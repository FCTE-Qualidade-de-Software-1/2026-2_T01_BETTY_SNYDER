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struções" sheetId="1" r:id="rId5"/>
    <sheet state="visible" name="Registro de horas" sheetId="2" r:id="rId6"/>
    <sheet state="visible" name="Planejamento" sheetId="3" r:id="rId7"/>
    <sheet state="visible" name="Resumo" sheetId="4" r:id="rId8"/>
    <sheet state="visible" name="Equipe" sheetId="5" r:id="rId9"/>
  </sheets>
  <definedNames/>
  <calcPr/>
</workbook>
</file>

<file path=xl/sharedStrings.xml><?xml version="1.0" encoding="utf-8"?>
<sst xmlns="http://schemas.openxmlformats.org/spreadsheetml/2006/main" count="159" uniqueCount="71">
  <si>
    <t>Como usar</t>
  </si>
  <si>
    <t>1. Cada integrante registra suas horas na aba Registro de horas, uma linha por atividade.</t>
  </si>
  <si>
    <t>2. Preencha Data, Membro (lista), Atividade, Fase (lista), Issue (se houver) e Horas. A coluna Dupla é preenchida sozinha.</t>
  </si>
  <si>
    <t>3. Horas em decimal: 30 minutos = 0,5; 1 hora e 15 minutos = 1,25.</t>
  </si>
  <si>
    <t>4. As horas previstas de cada membro por semana vão na aba Planejamento.</t>
  </si>
  <si>
    <t>5. A aba Resumo é calculada a partir das outras e não deve ser editada.</t>
  </si>
  <si>
    <t>6. A cada entrega, exportar uma cópia para o repositório (Arquivo &gt; Fazer download).</t>
  </si>
  <si>
    <t>Legenda</t>
  </si>
  <si>
    <t>Horas planejadas por membro e por semana (semana começando na segunda-feira)</t>
  </si>
  <si>
    <t>Células amarelas: campos a preencher.</t>
  </si>
  <si>
    <t>Data</t>
  </si>
  <si>
    <t>Membro</t>
  </si>
  <si>
    <t>Resumo de esforço (Recursos e Custos)</t>
  </si>
  <si>
    <t>Células brancas com fórmula: calculadas, não editar.</t>
  </si>
  <si>
    <t>Se as horas digitadas com vírgula não somarem, ajuste a localidade em Arquivo &gt; Configurações &gt; Localidade: Brasil.</t>
  </si>
  <si>
    <t>Dupla</t>
  </si>
  <si>
    <t>Atividade</t>
  </si>
  <si>
    <t>Fase</t>
  </si>
  <si>
    <t>Issue</t>
  </si>
  <si>
    <t>Horas</t>
  </si>
  <si>
    <t>Horas reais</t>
  </si>
  <si>
    <t>Horas planejadas</t>
  </si>
  <si>
    <t>Real / planejado</t>
  </si>
  <si>
    <t>% do esforço total</t>
  </si>
  <si>
    <t>Total</t>
  </si>
  <si>
    <t>Davi</t>
  </si>
  <si>
    <t>Reunião 01 (abertura do projeto)</t>
  </si>
  <si>
    <t>Gestão</t>
  </si>
  <si>
    <t>Pedro</t>
  </si>
  <si>
    <t>Nome completo</t>
  </si>
  <si>
    <t>Característica</t>
  </si>
  <si>
    <t>Davi Severiano Freitas</t>
  </si>
  <si>
    <t>A</t>
  </si>
  <si>
    <t>Usabilidade</t>
  </si>
  <si>
    <t>Pedro Henrique Freire Rodrigues</t>
  </si>
  <si>
    <t>Karolina</t>
  </si>
  <si>
    <t>Karolina Vieira Barbosa</t>
  </si>
  <si>
    <t>B</t>
  </si>
  <si>
    <t>Eficiência de desempenho</t>
  </si>
  <si>
    <t>Mateus</t>
  </si>
  <si>
    <t>Mateus de Siqueira Silva</t>
  </si>
  <si>
    <t>Bryan</t>
  </si>
  <si>
    <t>Bryan Smith Rodrigues Cavalcante</t>
  </si>
  <si>
    <t>C</t>
  </si>
  <si>
    <t>Portabilidade</t>
  </si>
  <si>
    <t>Dante</t>
  </si>
  <si>
    <t>Dante Fernandes Scarpati</t>
  </si>
  <si>
    <t>Até 15/10</t>
  </si>
  <si>
    <t>Registro de ata 1, decisões e atribuir atividades</t>
  </si>
  <si>
    <t>Montar a estrutura incial da GitPage</t>
  </si>
  <si>
    <t>GitPage</t>
  </si>
  <si>
    <t>Estudar Desempenho dos processos</t>
  </si>
  <si>
    <t>Artigo</t>
  </si>
  <si>
    <t>Horas reais por semana (semana começando na segunda-feira)</t>
  </si>
  <si>
    <t>Criação de layout, Inserção de textos iniciais no artigo. estudo sobre desempenho de processos, busca por artigos modelo de BSM voltado para eficiência de desempenho</t>
  </si>
  <si>
    <t>Reunião 02</t>
  </si>
  <si>
    <t>Reunião 03, inicio e preenchimento da fase 1</t>
  </si>
  <si>
    <t>Fase 1</t>
  </si>
  <si>
    <t>Reunião 03, inicio e preenchimento da fase 2</t>
  </si>
  <si>
    <t>Finalizar fase 1</t>
  </si>
  <si>
    <t>Organizar trabalho da dupla A e da equipe no geral</t>
  </si>
  <si>
    <t>Completar termo de consentimento</t>
  </si>
  <si>
    <t>Escrita de Tabela GQM, adição de fatores de variação e detalhamento de métricas</t>
  </si>
  <si>
    <t>Fase 2</t>
  </si>
  <si>
    <t>Divisão do trabalho com a dupla B</t>
  </si>
  <si>
    <t>ajuste e atualização da documentação no Overleaf</t>
  </si>
  <si>
    <t>Atualização do GitPages</t>
  </si>
  <si>
    <t>Finalização Termo de Consentimento, preenchimento tópicos 5.1.4 e 5.1.5, slides 9 e 10</t>
  </si>
  <si>
    <t>Finalização dos Slides de 1 a 5, e identificar erros do artigo.</t>
  </si>
  <si>
    <t>Diagramas de modelo de qualidade e de GQM, adição de métricas na tabela e slides.</t>
  </si>
  <si>
    <t>Refinar Slides da apresenteção PC1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</si>
</sst>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d/mm"/>
    <numFmt numFmtId="165" formatCode="dd/mm/yyyy"/>
    <numFmt numFmtId="166" formatCode="0.0"/>
    <numFmt numFmtId="167" formatCode="0.0%"/>
  </numFmts>
  <fonts count="6">
    <font>
      <sz val="11.0"/>
      <color theme="1"/>
      <name val="Calibri"/>
      <scheme val="minor"/>
    </font>
    <font>
      <b/>
      <sz val="11.0"/>
      <color theme="1"/>
      <name val="Arial"/>
    </font>
    <font>
      <sz val="11.0"/>
      <color theme="1"/>
      <name val="Arial"/>
    </font>
    <font>
      <b/>
      <sz val="11.0"/>
      <color rgb="FFFFFFFF"/>
      <name val="Arial"/>
    </font>
    <font>
      <color theme="1"/>
      <name val="Calibri"/>
      <scheme val="minor"/>
    </font>
    <font>
      <sz val="11.0"/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1F3864"/>
        <bgColor rgb="FF1F3864"/>
      </patternFill>
    </fill>
  </fills>
  <borders count="3">
    <border/>
    <border>
      <left/>
      <right/>
      <top/>
      <bottom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borderId="0" fillId="0" fontId="0" numFmtId="0" applyAlignment="1" applyFont="1"/>
  </cellStyleXfs>
  <cellXfs count="3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2" numFmtId="0" xfId="0" applyAlignment="1" applyFont="1">
      <alignment shrinkToFit="0" vertical="bottom" wrapText="0"/>
    </xf>
    <xf borderId="1" fillId="2" fontId="2" numFmtId="0" xfId="0" applyAlignment="1" applyBorder="1" applyFill="1" applyFont="1">
      <alignment shrinkToFit="0" vertical="bottom" wrapText="0"/>
    </xf>
    <xf borderId="2" fillId="3" fontId="3" numFmtId="0" xfId="0" applyAlignment="1" applyBorder="1" applyFill="1" applyFont="1">
      <alignment horizontal="center" shrinkToFit="0" vertical="bottom" wrapText="0"/>
    </xf>
    <xf borderId="2" fillId="3" fontId="3" numFmtId="0" xfId="0" applyAlignment="1" applyBorder="1" applyFill="1" applyFont="1">
      <alignment horizontal="center" shrinkToFit="0" vertical="bottom" wrapText="1"/>
    </xf>
    <xf borderId="2" fillId="3" fontId="3" numFmtId="164" xfId="0" applyAlignment="1" applyBorder="1" applyFill="1" applyFont="1" applyNumberFormat="1">
      <alignment horizontal="center" shrinkToFit="0" vertical="bottom" wrapText="0"/>
    </xf>
    <xf borderId="2" fillId="2" fontId="2" numFmtId="165" xfId="0" applyAlignment="1" applyBorder="1" applyFill="1" applyFont="1" applyNumberFormat="1">
      <alignment shrinkToFit="0" vertical="bottom" wrapText="0"/>
    </xf>
    <xf borderId="2" fillId="2" fontId="2" numFmtId="0" xfId="0" applyAlignment="1" applyBorder="1" applyFill="1" applyFont="1">
      <alignment shrinkToFit="0" vertical="bottom" wrapText="0"/>
    </xf>
    <xf borderId="2" fillId="0" fontId="2" numFmtId="0" xfId="0" applyAlignment="1" applyBorder="1" applyFont="1">
      <alignment shrinkToFit="0" vertical="bottom" wrapText="0"/>
    </xf>
    <xf borderId="2" fillId="2" fontId="2" numFmtId="166" xfId="0" applyAlignment="1" applyBorder="1" applyFill="1" applyFont="1" applyNumberFormat="1">
      <alignment readingOrder="0" shrinkToFit="0" vertical="bottom" wrapText="0"/>
    </xf>
    <xf borderId="2" fillId="2" fontId="2" numFmtId="166" xfId="0" applyAlignment="1" applyBorder="1" applyFill="1" applyFont="1" applyNumberFormat="1">
      <alignment shrinkToFit="0" vertical="bottom" wrapText="0"/>
    </xf>
    <xf borderId="2" fillId="0" fontId="2" numFmtId="166" xfId="0" applyAlignment="1" applyBorder="1" applyFont="1" applyNumberFormat="1">
      <alignment shrinkToFit="0" vertical="bottom" wrapText="0"/>
    </xf>
    <xf borderId="2" fillId="0" fontId="2" numFmtId="0" xfId="0" applyAlignment="1" applyBorder="1" applyFont="1">
      <alignment horizontal="center" shrinkToFit="0" vertical="bottom" wrapText="0"/>
    </xf>
    <xf borderId="2" fillId="0" fontId="2" numFmtId="2" xfId="0" applyAlignment="1" applyBorder="1" applyFont="1" applyNumberFormat="1">
      <alignment shrinkToFit="0" vertical="bottom" wrapText="0"/>
    </xf>
    <xf borderId="2" fillId="2" fontId="2" numFmtId="2" xfId="0" applyAlignment="1" applyBorder="1" applyFill="1" applyFont="1" applyNumberFormat="1">
      <alignment readingOrder="0" shrinkToFit="0" vertical="bottom" wrapText="0"/>
    </xf>
    <xf borderId="2" fillId="3" fontId="3" numFmtId="0" xfId="0" applyAlignment="1" applyBorder="1" applyFill="1" applyFont="1">
      <alignment shrinkToFit="0" vertical="bottom" wrapText="0"/>
    </xf>
    <xf borderId="2" fillId="0" fontId="2" numFmtId="9" xfId="0" applyAlignment="1" applyBorder="1" applyFont="1" applyNumberFormat="1">
      <alignment shrinkToFit="0" vertical="bottom" wrapText="0"/>
    </xf>
    <xf borderId="2" fillId="2" fontId="2" numFmtId="2" xfId="0" applyAlignment="1" applyBorder="1" applyFill="1" applyFont="1" applyNumberFormat="1">
      <alignment shrinkToFit="0" vertical="bottom" wrapText="0"/>
    </xf>
    <xf borderId="2" fillId="0" fontId="2" numFmtId="167" xfId="0" applyAlignment="1" applyBorder="1" applyFont="1" applyNumberFormat="1">
      <alignment shrinkToFit="0" vertical="bottom" wrapText="0"/>
    </xf>
    <xf borderId="2" fillId="0" fontId="1" numFmtId="166" xfId="0" applyAlignment="1" applyBorder="1" applyFont="1" applyNumberFormat="1">
      <alignment shrinkToFit="0" vertical="bottom" wrapText="0"/>
    </xf>
    <xf borderId="2" fillId="2" fontId="2" numFmtId="165" xfId="0" applyAlignment="1" applyBorder="1" applyFill="1" applyFont="1" applyNumberFormat="1">
      <alignment readingOrder="0" shrinkToFit="0" vertical="bottom" wrapText="0"/>
    </xf>
    <xf borderId="2" fillId="2" fontId="2" numFmtId="0" xfId="0" applyAlignment="1" applyBorder="1" applyFill="1" applyFont="1">
      <alignment readingOrder="0" shrinkToFit="0" vertical="bottom" wrapText="0"/>
    </xf>
    <xf borderId="0" fillId="0" fontId="4" numFmtId="0" xfId="0" applyAlignment="1" applyFont="1">
      <alignment readingOrder="0"/>
    </xf>
    <xf borderId="2" fillId="2" fontId="2" numFmtId="165" xfId="0" applyAlignment="1" applyBorder="1" applyFill="1" applyFont="1" applyNumberFormat="1">
      <alignment horizontal="right" vertical="bottom"/>
    </xf>
    <xf borderId="2" fillId="2" fontId="2" numFmtId="0" xfId="0" applyAlignment="1" applyBorder="1" applyFill="1" applyFont="1">
      <alignment vertical="bottom"/>
    </xf>
    <xf borderId="2" fillId="0" fontId="2" numFmtId="0" xfId="0" applyAlignment="1" applyBorder="1" applyFont="1">
      <alignment horizontal="center" vertical="bottom"/>
    </xf>
    <xf borderId="2" fillId="2" fontId="5" numFmtId="0" xfId="0" applyAlignment="1" applyBorder="1" applyFill="1" applyFont="1">
      <alignment vertical="bottom"/>
    </xf>
    <xf borderId="2" fillId="2" fontId="2" numFmtId="2" xfId="0" applyAlignment="1" applyBorder="1" applyFill="1" applyFont="1" applyNumberFormat="1">
      <alignment horizontal="right" vertical="bottom"/>
    </xf>
    <xf borderId="0" fillId="0" fontId="4" numFmtId="0" xfId="0" applyFont="1"/>
    <xf borderId="2" fillId="0" fontId="1" numFmtId="2" xfId="0" applyAlignment="1" applyBorder="1" applyFont="1" applyNumberFormat="1">
      <alignment shrinkToFit="0" vertical="bottom" wrapText="0"/>
    </xf>
    <xf borderId="2" fillId="0" fontId="1" numFmtId="9" xfId="0" applyAlignment="1" applyBorder="1" applyFont="1" applyNumberFormat="1">
      <alignment shrinkToFit="0" vertical="bottom" wrapText="0"/>
    </xf>
    <xf borderId="2" fillId="0" fontId="1" numFmtId="167" xfId="0" applyAlignment="1" applyBorder="1" applyFont="1" applyNumberForma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0.0"/>
    <col customWidth="1" min="2" max="26" width="8.71"/>
  </cols>
  <sheetData>
    <row r="1">
      <c r="A1" s="1"/>
    </row>
    <row r="2">
      <c r="A2" s="2"/>
    </row>
    <row r="3">
      <c r="A3" s="1" t="s">
        <v>0</v>
      </c>
    </row>
    <row r="4">
      <c r="A4" s="2" t="s">
        <v>1</v>
      </c>
    </row>
    <row r="5">
      <c r="A5" s="2" t="s">
        <v>2</v>
      </c>
    </row>
    <row r="6">
      <c r="A6" s="2" t="s">
        <v>3</v>
      </c>
    </row>
    <row r="7">
      <c r="A7" s="2" t="s">
        <v>4</v>
      </c>
    </row>
    <row r="8">
      <c r="A8" s="2" t="s">
        <v>5</v>
      </c>
    </row>
    <row r="9">
      <c r="A9" s="2" t="s">
        <v>6</v>
      </c>
    </row>
    <row r="10">
      <c r="A10" s="2"/>
    </row>
    <row r="11">
      <c r="A11" s="1" t="s">
        <v>7</v>
      </c>
    </row>
    <row r="12">
      <c r="A12" s="3" t="s">
        <v>9</v>
      </c>
    </row>
    <row r="13">
      <c r="A13" s="2" t="s">
        <v>13</v>
      </c>
    </row>
    <row r="14">
      <c r="A14" s="2"/>
    </row>
    <row r="15">
      <c r="A15" s="2" t="s">
        <v>14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2" width="12.0"/>
    <col customWidth="1" min="3" max="3" width="8.0"/>
    <col customWidth="1" min="4" max="4" width="75.43"/>
    <col customWidth="1" min="5" max="5" width="12.0"/>
    <col customWidth="1" min="6" max="6" width="10.0"/>
    <col customWidth="1" min="7" max="7" width="9.0"/>
    <col customWidth="1" min="8" max="26" width="8.71"/>
  </cols>
  <sheetData>
    <row r="1">
      <c r="A1" s="4" t="s">
        <v>10</v>
      </c>
      <c r="B1" s="4" t="s">
        <v>11</v>
      </c>
      <c r="C1" s="4" t="s">
        <v>15</v>
      </c>
      <c r="D1" s="4" t="s">
        <v>16</v>
      </c>
      <c r="E1" s="4" t="s">
        <v>17</v>
      </c>
      <c r="F1" s="4" t="s">
        <v>18</v>
      </c>
      <c r="G1" s="4" t="s">
        <v>19</v>
      </c>
    </row>
    <row r="2">
      <c r="A2" s="7">
        <v>46302.0</v>
      </c>
      <c r="B2" s="8" t="s">
        <v>25</v>
      </c>
      <c r="C2" s="13" t="str">
        <f t="array" ref="C2">IF(B2="","",INDEX(Equipe!$C$2:$C$7,MATCH(B2,Equipe!$A$2:$A$7,0)))</f>
        <v>A</v>
      </c>
      <c r="D2" s="8" t="s">
        <v>26</v>
      </c>
      <c r="E2" s="8" t="s">
        <v>27</v>
      </c>
      <c r="F2" s="8"/>
      <c r="G2" s="15">
        <v>2.33</v>
      </c>
    </row>
    <row r="3">
      <c r="A3" s="7">
        <v>46302.0</v>
      </c>
      <c r="B3" s="8" t="s">
        <v>28</v>
      </c>
      <c r="C3" s="13" t="str">
        <f t="array" ref="C3">IF(B3="","",INDEX(Equipe!$C$2:$C$7,MATCH(B3,Equipe!$A$2:$A$7,0)))</f>
        <v>A</v>
      </c>
      <c r="D3" s="8" t="s">
        <v>26</v>
      </c>
      <c r="E3" s="8" t="s">
        <v>27</v>
      </c>
      <c r="F3" s="8"/>
      <c r="G3" s="18">
        <v>0.33</v>
      </c>
    </row>
    <row r="4">
      <c r="A4" s="7">
        <v>46302.0</v>
      </c>
      <c r="B4" s="8" t="s">
        <v>35</v>
      </c>
      <c r="C4" s="13" t="str">
        <f t="array" ref="C4">IF(B4="","",INDEX(Equipe!$C$2:$C$7,MATCH(B4,Equipe!$A$2:$A$7,0)))</f>
        <v>B</v>
      </c>
      <c r="D4" s="8" t="s">
        <v>26</v>
      </c>
      <c r="E4" s="8" t="s">
        <v>27</v>
      </c>
      <c r="F4" s="8"/>
      <c r="G4" s="18">
        <v>0.33</v>
      </c>
    </row>
    <row r="5">
      <c r="A5" s="7">
        <v>46302.0</v>
      </c>
      <c r="B5" s="8" t="s">
        <v>41</v>
      </c>
      <c r="C5" s="13" t="str">
        <f t="array" ref="C5">IF(B5="","",INDEX(Equipe!$C$2:$C$7,MATCH(B5,Equipe!$A$2:$A$7,0)))</f>
        <v>C</v>
      </c>
      <c r="D5" s="8" t="s">
        <v>26</v>
      </c>
      <c r="E5" s="8" t="s">
        <v>27</v>
      </c>
      <c r="F5" s="8"/>
      <c r="G5" s="18">
        <v>0.33</v>
      </c>
    </row>
    <row r="6">
      <c r="A6" s="7">
        <v>46302.0</v>
      </c>
      <c r="B6" s="8" t="s">
        <v>45</v>
      </c>
      <c r="C6" s="13" t="str">
        <f t="array" ref="C6">IF(B6="","",INDEX(Equipe!$C$2:$C$7,MATCH(B6,Equipe!$A$2:$A$7,0)))</f>
        <v>C</v>
      </c>
      <c r="D6" s="8" t="s">
        <v>26</v>
      </c>
      <c r="E6" s="8" t="s">
        <v>27</v>
      </c>
      <c r="F6" s="8"/>
      <c r="G6" s="18">
        <v>0.33</v>
      </c>
    </row>
    <row r="7">
      <c r="A7" s="21">
        <v>46303.0</v>
      </c>
      <c r="B7" s="22" t="s">
        <v>35</v>
      </c>
      <c r="C7" s="13" t="str">
        <f t="array" ref="C7">IF(B7="","",INDEX(Equipe!$C$2:$C$7,MATCH(B7,Equipe!$A$2:$A$7,0)))</f>
        <v>B</v>
      </c>
      <c r="D7" s="22" t="s">
        <v>26</v>
      </c>
      <c r="E7" s="22" t="s">
        <v>27</v>
      </c>
      <c r="F7" s="8"/>
      <c r="G7" s="15">
        <v>0.33</v>
      </c>
      <c r="I7" s="23" t="s">
        <v>47</v>
      </c>
    </row>
    <row r="8">
      <c r="A8" s="24">
        <v>46304.0</v>
      </c>
      <c r="B8" s="25" t="s">
        <v>25</v>
      </c>
      <c r="C8" s="26" t="str">
        <f t="array" ref="C8">IF(B8="","",INDEX(Equipe!$C$2:$C$7,MATCH(B8,Equipe!$A$2:$A$7,0)))</f>
        <v>A</v>
      </c>
      <c r="D8" s="25" t="s">
        <v>48</v>
      </c>
      <c r="E8" s="25" t="s">
        <v>27</v>
      </c>
      <c r="F8" s="27"/>
      <c r="G8" s="28">
        <v>1.0</v>
      </c>
      <c r="I8" s="9" t="s">
        <v>25</v>
      </c>
      <c r="J8" s="23">
        <v>5.0</v>
      </c>
      <c r="K8" s="29">
        <f>J8/J14</f>
        <v>0.2587991718</v>
      </c>
    </row>
    <row r="9">
      <c r="A9" s="21">
        <v>46303.0</v>
      </c>
      <c r="B9" s="22" t="s">
        <v>35</v>
      </c>
      <c r="C9" s="13" t="str">
        <f t="array" ref="C9">IF(B9="","",INDEX(Equipe!$C$2:$C$7,MATCH(B9,Equipe!$A$2:$A$7,0)))</f>
        <v>B</v>
      </c>
      <c r="D9" s="22" t="s">
        <v>49</v>
      </c>
      <c r="E9" s="22" t="s">
        <v>50</v>
      </c>
      <c r="F9" s="8"/>
      <c r="G9" s="15">
        <v>1.75</v>
      </c>
      <c r="I9" s="9" t="s">
        <v>28</v>
      </c>
      <c r="J9" s="23">
        <v>1.33</v>
      </c>
      <c r="K9" s="29">
        <f>J9/J14</f>
        <v>0.06884057971</v>
      </c>
    </row>
    <row r="10">
      <c r="A10" s="21">
        <v>46305.0</v>
      </c>
      <c r="B10" s="22" t="s">
        <v>35</v>
      </c>
      <c r="C10" s="13" t="str">
        <f t="array" ref="C10">IF(B10="","",INDEX(Equipe!$C$2:$C$7,MATCH(B10,Equipe!$A$2:$A$7,0)))</f>
        <v>B</v>
      </c>
      <c r="D10" s="22" t="s">
        <v>51</v>
      </c>
      <c r="E10" s="22" t="s">
        <v>52</v>
      </c>
      <c r="F10" s="8"/>
      <c r="G10" s="15">
        <v>1.25</v>
      </c>
      <c r="I10" s="9" t="s">
        <v>35</v>
      </c>
      <c r="J10" s="23">
        <v>5.0</v>
      </c>
      <c r="K10" s="29">
        <f>J10/J14</f>
        <v>0.2587991718</v>
      </c>
    </row>
    <row r="11">
      <c r="A11" s="21">
        <v>46305.0</v>
      </c>
      <c r="B11" s="22" t="s">
        <v>39</v>
      </c>
      <c r="C11" s="13" t="str">
        <f t="array" ref="C11">IF(B11="","",INDEX(Equipe!$C$2:$C$7,MATCH(B11,Equipe!$A$2:$A$7,0)))</f>
        <v>B</v>
      </c>
      <c r="D11" s="22" t="s">
        <v>54</v>
      </c>
      <c r="E11" s="22" t="s">
        <v>52</v>
      </c>
      <c r="F11" s="8"/>
      <c r="G11" s="15">
        <v>4.0</v>
      </c>
      <c r="I11" s="9" t="s">
        <v>39</v>
      </c>
      <c r="J11" s="23">
        <v>5.0</v>
      </c>
      <c r="K11" s="29">
        <f>J11/J14</f>
        <v>0.2587991718</v>
      </c>
    </row>
    <row r="12">
      <c r="A12" s="21">
        <v>46307.0</v>
      </c>
      <c r="B12" s="22" t="s">
        <v>25</v>
      </c>
      <c r="C12" s="13" t="str">
        <f t="array" ref="C12">IF(B12="","",INDEX(Equipe!$C$2:$C$7,MATCH(B12,Equipe!$A$2:$A$7,0)))</f>
        <v>A</v>
      </c>
      <c r="D12" s="22" t="s">
        <v>55</v>
      </c>
      <c r="E12" s="22" t="s">
        <v>27</v>
      </c>
      <c r="F12" s="8"/>
      <c r="G12" s="15">
        <v>0.33</v>
      </c>
      <c r="I12" s="9" t="s">
        <v>41</v>
      </c>
      <c r="J12" s="23">
        <v>1.33</v>
      </c>
      <c r="K12" s="29">
        <f>J12/J14</f>
        <v>0.06884057971</v>
      </c>
    </row>
    <row r="13">
      <c r="A13" s="21">
        <v>46307.0</v>
      </c>
      <c r="B13" s="22" t="s">
        <v>35</v>
      </c>
      <c r="C13" s="13" t="str">
        <f t="array" ref="C13">IF(B13="","",INDEX(Equipe!$C$2:$C$7,MATCH(B13,Equipe!$A$2:$A$7,0)))</f>
        <v>B</v>
      </c>
      <c r="D13" s="22" t="s">
        <v>55</v>
      </c>
      <c r="E13" s="22" t="s">
        <v>27</v>
      </c>
      <c r="F13" s="8"/>
      <c r="G13" s="15">
        <v>0.33</v>
      </c>
      <c r="I13" s="9" t="s">
        <v>45</v>
      </c>
      <c r="J13" s="23">
        <v>1.66</v>
      </c>
      <c r="K13" s="29">
        <f>J13/J14</f>
        <v>0.08592132505</v>
      </c>
    </row>
    <row r="14">
      <c r="A14" s="21">
        <v>46307.0</v>
      </c>
      <c r="B14" s="22" t="s">
        <v>45</v>
      </c>
      <c r="C14" s="13" t="str">
        <f t="array" ref="C14">IF(B14="","",INDEX(Equipe!$C$2:$C$7,MATCH(B14,Equipe!$A$2:$A$7,0)))</f>
        <v>C</v>
      </c>
      <c r="D14" s="22" t="s">
        <v>55</v>
      </c>
      <c r="E14" s="22" t="s">
        <v>27</v>
      </c>
      <c r="F14" s="8"/>
      <c r="G14" s="15">
        <v>0.33</v>
      </c>
      <c r="I14" s="23" t="s">
        <v>24</v>
      </c>
      <c r="J14" s="29">
        <f>SUM(J8:J13)</f>
        <v>19.32</v>
      </c>
    </row>
    <row r="15">
      <c r="A15" s="21">
        <v>46309.0</v>
      </c>
      <c r="B15" s="22" t="s">
        <v>25</v>
      </c>
      <c r="C15" s="13" t="str">
        <f t="array" ref="C15">IF(B15="","",INDEX(Equipe!$C$2:$C$7,MATCH(B15,Equipe!$A$2:$A$7,0)))</f>
        <v>A</v>
      </c>
      <c r="D15" s="22" t="s">
        <v>56</v>
      </c>
      <c r="E15" s="22" t="s">
        <v>57</v>
      </c>
      <c r="F15" s="8"/>
      <c r="G15" s="15">
        <v>1.0</v>
      </c>
    </row>
    <row r="16">
      <c r="A16" s="21">
        <v>46309.0</v>
      </c>
      <c r="B16" s="22" t="s">
        <v>28</v>
      </c>
      <c r="C16" s="13" t="str">
        <f t="array" ref="C16">IF(B16="","",INDEX(Equipe!$C$2:$C$7,MATCH(B16,Equipe!$A$2:$A$7,0)))</f>
        <v>A</v>
      </c>
      <c r="D16" s="22" t="s">
        <v>56</v>
      </c>
      <c r="E16" s="22" t="s">
        <v>57</v>
      </c>
      <c r="F16" s="8"/>
      <c r="G16" s="15">
        <v>1.0</v>
      </c>
    </row>
    <row r="17">
      <c r="A17" s="21">
        <v>46309.0</v>
      </c>
      <c r="B17" s="22" t="s">
        <v>35</v>
      </c>
      <c r="C17" s="13" t="str">
        <f t="array" ref="C17">IF(B17="","",INDEX(Equipe!$C$2:$C$7,MATCH(B17,Equipe!$A$2:$A$7,0)))</f>
        <v>B</v>
      </c>
      <c r="D17" s="22" t="s">
        <v>56</v>
      </c>
      <c r="E17" s="22" t="s">
        <v>57</v>
      </c>
      <c r="F17" s="8"/>
      <c r="G17" s="15">
        <v>1.0</v>
      </c>
    </row>
    <row r="18">
      <c r="A18" s="21">
        <v>46309.0</v>
      </c>
      <c r="B18" s="22" t="s">
        <v>39</v>
      </c>
      <c r="C18" s="13" t="str">
        <f t="array" ref="C18">IF(B18="","",INDEX(Equipe!$C$2:$C$7,MATCH(B18,Equipe!$A$2:$A$7,0)))</f>
        <v>B</v>
      </c>
      <c r="D18" s="22" t="s">
        <v>56</v>
      </c>
      <c r="E18" s="22" t="s">
        <v>57</v>
      </c>
      <c r="F18" s="8"/>
      <c r="G18" s="15">
        <v>1.0</v>
      </c>
    </row>
    <row r="19">
      <c r="A19" s="21">
        <v>46309.0</v>
      </c>
      <c r="B19" s="22" t="s">
        <v>41</v>
      </c>
      <c r="C19" s="13" t="str">
        <f t="array" ref="C19">IF(B19="","",INDEX(Equipe!$C$2:$C$7,MATCH(B19,Equipe!$A$2:$A$7,0)))</f>
        <v>C</v>
      </c>
      <c r="D19" s="22" t="s">
        <v>56</v>
      </c>
      <c r="E19" s="22" t="s">
        <v>57</v>
      </c>
      <c r="F19" s="8"/>
      <c r="G19" s="15">
        <v>1.0</v>
      </c>
    </row>
    <row r="20">
      <c r="A20" s="21">
        <v>46309.0</v>
      </c>
      <c r="B20" s="22" t="s">
        <v>45</v>
      </c>
      <c r="C20" s="13" t="str">
        <f t="array" ref="C20">IF(B20="","",INDEX(Equipe!$C$2:$C$7,MATCH(B20,Equipe!$A$2:$A$7,0)))</f>
        <v>C</v>
      </c>
      <c r="D20" s="22" t="s">
        <v>58</v>
      </c>
      <c r="E20" s="22" t="s">
        <v>57</v>
      </c>
      <c r="F20" s="8"/>
      <c r="G20" s="15">
        <v>1.0</v>
      </c>
    </row>
    <row r="21">
      <c r="A21" s="21">
        <v>46309.0</v>
      </c>
      <c r="B21" s="22" t="s">
        <v>25</v>
      </c>
      <c r="C21" s="13" t="str">
        <f t="array" ref="C21">IF(B21="","",INDEX(Equipe!$C$2:$C$7,MATCH(B21,Equipe!$A$2:$A$7,0)))</f>
        <v>A</v>
      </c>
      <c r="D21" s="22" t="s">
        <v>59</v>
      </c>
      <c r="E21" s="22" t="s">
        <v>57</v>
      </c>
      <c r="F21" s="8"/>
      <c r="G21" s="15">
        <v>2.5</v>
      </c>
    </row>
    <row r="22" ht="15.75" customHeight="1">
      <c r="A22" s="21">
        <v>46312.0</v>
      </c>
      <c r="B22" s="22" t="s">
        <v>25</v>
      </c>
      <c r="C22" s="13" t="str">
        <f t="array" ref="C22">IF(B22="","",INDEX(Equipe!$C$2:$C$7,MATCH(B22,Equipe!$A$2:$A$7,0)))</f>
        <v>A</v>
      </c>
      <c r="D22" s="22" t="s">
        <v>60</v>
      </c>
      <c r="E22" s="22" t="s">
        <v>27</v>
      </c>
      <c r="F22" s="8"/>
      <c r="G22" s="15">
        <v>1.0</v>
      </c>
    </row>
    <row r="23" ht="15.75" customHeight="1">
      <c r="A23" s="21">
        <v>46312.0</v>
      </c>
      <c r="B23" s="22" t="s">
        <v>28</v>
      </c>
      <c r="C23" s="13" t="str">
        <f t="array" ref="C23">IF(B23="","",INDEX(Equipe!$C$2:$C$7,MATCH(B23,Equipe!$A$2:$A$7,0)))</f>
        <v>A</v>
      </c>
      <c r="D23" s="22" t="s">
        <v>61</v>
      </c>
      <c r="E23" s="22" t="s">
        <v>57</v>
      </c>
      <c r="F23" s="8"/>
      <c r="G23" s="15">
        <v>1.0</v>
      </c>
    </row>
    <row r="24" ht="15.75" customHeight="1">
      <c r="A24" s="21">
        <v>46312.0</v>
      </c>
      <c r="B24" s="22" t="s">
        <v>41</v>
      </c>
      <c r="C24" s="13" t="str">
        <f t="array" ref="C24">IF(B24="","",INDEX(Equipe!$C$2:$C$7,MATCH(B24,Equipe!$A$2:$A$7,0)))</f>
        <v>C</v>
      </c>
      <c r="D24" s="22" t="s">
        <v>62</v>
      </c>
      <c r="E24" s="22" t="s">
        <v>63</v>
      </c>
      <c r="F24" s="8"/>
      <c r="G24" s="15">
        <v>3.0</v>
      </c>
    </row>
    <row r="25" ht="15.75" customHeight="1">
      <c r="A25" s="21">
        <v>46312.0</v>
      </c>
      <c r="B25" s="22" t="s">
        <v>35</v>
      </c>
      <c r="C25" s="13" t="str">
        <f t="array" ref="C25">IF(B25="","",INDEX(Equipe!$C$2:$C$7,MATCH(B25,Equipe!$A$2:$A$7,0)))</f>
        <v>B</v>
      </c>
      <c r="D25" s="22" t="s">
        <v>64</v>
      </c>
      <c r="E25" s="22" t="s">
        <v>57</v>
      </c>
      <c r="F25" s="8"/>
      <c r="G25" s="15">
        <v>1.25</v>
      </c>
    </row>
    <row r="26" ht="15.75" customHeight="1">
      <c r="A26" s="21">
        <v>46313.0</v>
      </c>
      <c r="B26" s="22" t="s">
        <v>35</v>
      </c>
      <c r="C26" s="13" t="str">
        <f t="array" ref="C26">IF(B26="","",INDEX(Equipe!$C$2:$C$7,MATCH(B26,Equipe!$A$2:$A$7,0)))</f>
        <v>B</v>
      </c>
      <c r="D26" s="22" t="s">
        <v>65</v>
      </c>
      <c r="E26" s="22" t="s">
        <v>52</v>
      </c>
      <c r="F26" s="8"/>
      <c r="G26" s="15">
        <v>1.5</v>
      </c>
    </row>
    <row r="27" ht="15.75" customHeight="1">
      <c r="A27" s="21">
        <v>46313.0</v>
      </c>
      <c r="B27" s="22" t="s">
        <v>35</v>
      </c>
      <c r="C27" s="13" t="str">
        <f t="array" ref="C27">IF(B27="","",INDEX(Equipe!$C$2:$C$7,MATCH(B27,Equipe!$A$2:$A$7,0)))</f>
        <v>B</v>
      </c>
      <c r="D27" s="22" t="s">
        <v>66</v>
      </c>
      <c r="E27" s="22" t="s">
        <v>50</v>
      </c>
      <c r="F27" s="8"/>
      <c r="G27" s="15">
        <v>0.33</v>
      </c>
    </row>
    <row r="28" ht="15.75" customHeight="1">
      <c r="A28" s="21">
        <v>46313.0</v>
      </c>
      <c r="B28" s="22" t="s">
        <v>28</v>
      </c>
      <c r="C28" s="13" t="str">
        <f t="array" ref="C28">IF(B28="","",INDEX(Equipe!$C$2:$C$7,MATCH(B28,Equipe!$A$2:$A$7,0)))</f>
        <v>A</v>
      </c>
      <c r="D28" s="22" t="s">
        <v>67</v>
      </c>
      <c r="E28" s="22" t="s">
        <v>63</v>
      </c>
      <c r="F28" s="8"/>
      <c r="G28" s="15">
        <v>4.78</v>
      </c>
    </row>
    <row r="29" ht="15.75" customHeight="1">
      <c r="A29" s="21">
        <v>46313.0</v>
      </c>
      <c r="B29" s="22" t="s">
        <v>25</v>
      </c>
      <c r="C29" s="13" t="str">
        <f t="array" ref="C29">IF(B29="","",INDEX(Equipe!$C$2:$C$7,MATCH(B29,Equipe!$A$2:$A$7,0)))</f>
        <v>A</v>
      </c>
      <c r="D29" s="22" t="s">
        <v>68</v>
      </c>
      <c r="E29" s="22" t="s">
        <v>63</v>
      </c>
      <c r="F29" s="8"/>
      <c r="G29" s="15">
        <v>1.5</v>
      </c>
    </row>
    <row r="30" ht="15.75" customHeight="1">
      <c r="A30" s="21">
        <v>46313.0</v>
      </c>
      <c r="B30" s="22" t="s">
        <v>45</v>
      </c>
      <c r="C30" s="13" t="str">
        <f t="array" ref="C30">IF(B30="","",INDEX(Equipe!$C$2:$C$7,MATCH(B30,Equipe!$A$2:$A$7,0)))</f>
        <v>C</v>
      </c>
      <c r="D30" s="22" t="s">
        <v>69</v>
      </c>
      <c r="E30" s="22" t="s">
        <v>63</v>
      </c>
      <c r="F30" s="8"/>
      <c r="G30" s="15">
        <v>3.6666</v>
      </c>
    </row>
    <row r="31" ht="15.75" customHeight="1">
      <c r="A31" s="21">
        <v>46314.0</v>
      </c>
      <c r="B31" s="22" t="s">
        <v>25</v>
      </c>
      <c r="C31" s="13" t="str">
        <f t="array" ref="C31">IF(B31="","",INDEX(Equipe!$C$2:$C$7,MATCH(B31,Equipe!$A$2:$A$7,0)))</f>
        <v>A</v>
      </c>
      <c r="D31" s="22" t="s">
        <v>70</v>
      </c>
      <c r="E31" s="22" t="s">
        <v>63</v>
      </c>
      <c r="F31" s="8"/>
      <c r="G31" s="15">
        <v>1.0</v>
      </c>
    </row>
    <row r="32" ht="15.75" customHeight="1">
      <c r="A32" s="7"/>
      <c r="B32" s="8"/>
      <c r="C32" s="13" t="str">
        <f t="array" ref="C32">IF(B32="","",INDEX(Equipe!$C$2:$C$7,MATCH(B32,Equipe!$A$2:$A$7,0)))</f>
        <v/>
      </c>
      <c r="D32" s="8"/>
      <c r="E32" s="8"/>
      <c r="F32" s="8"/>
      <c r="G32" s="18"/>
    </row>
    <row r="33" ht="15.75" customHeight="1">
      <c r="A33" s="7"/>
      <c r="B33" s="8"/>
      <c r="C33" s="13" t="str">
        <f t="array" ref="C33">IF(B33="","",INDEX(Equipe!$C$2:$C$7,MATCH(B33,Equipe!$A$2:$A$7,0)))</f>
        <v/>
      </c>
      <c r="D33" s="8"/>
      <c r="E33" s="8"/>
      <c r="F33" s="8"/>
      <c r="G33" s="18"/>
    </row>
    <row r="34" ht="15.75" customHeight="1">
      <c r="A34" s="7"/>
      <c r="B34" s="8"/>
      <c r="C34" s="13" t="str">
        <f t="array" ref="C34">IF(B34="","",INDEX(Equipe!$C$2:$C$7,MATCH(B34,Equipe!$A$2:$A$7,0)))</f>
        <v/>
      </c>
      <c r="D34" s="8"/>
      <c r="E34" s="8"/>
      <c r="F34" s="8"/>
      <c r="G34" s="18"/>
    </row>
    <row r="35" ht="15.75" customHeight="1">
      <c r="A35" s="7"/>
      <c r="B35" s="8"/>
      <c r="C35" s="13" t="str">
        <f t="array" ref="C35">IF(B35="","",INDEX(Equipe!$C$2:$C$7,MATCH(B35,Equipe!$A$2:$A$7,0)))</f>
        <v/>
      </c>
      <c r="D35" s="8"/>
      <c r="E35" s="8"/>
      <c r="F35" s="8"/>
      <c r="G35" s="18"/>
    </row>
    <row r="36" ht="15.75" customHeight="1">
      <c r="A36" s="7"/>
      <c r="B36" s="8"/>
      <c r="C36" s="13" t="str">
        <f t="array" ref="C36">IF(B36="","",INDEX(Equipe!$C$2:$C$7,MATCH(B36,Equipe!$A$2:$A$7,0)))</f>
        <v/>
      </c>
      <c r="D36" s="8"/>
      <c r="E36" s="8"/>
      <c r="F36" s="8"/>
      <c r="G36" s="18"/>
    </row>
    <row r="37" ht="15.75" customHeight="1">
      <c r="A37" s="7"/>
      <c r="B37" s="8"/>
      <c r="C37" s="13" t="str">
        <f t="array" ref="C37">IF(B37="","",INDEX(Equipe!$C$2:$C$7,MATCH(B37,Equipe!$A$2:$A$7,0)))</f>
        <v/>
      </c>
      <c r="D37" s="8"/>
      <c r="E37" s="8"/>
      <c r="F37" s="8"/>
      <c r="G37" s="18"/>
    </row>
    <row r="38" ht="15.75" customHeight="1">
      <c r="A38" s="7"/>
      <c r="B38" s="8"/>
      <c r="C38" s="13" t="str">
        <f t="array" ref="C38">IF(B38="","",INDEX(Equipe!$C$2:$C$7,MATCH(B38,Equipe!$A$2:$A$7,0)))</f>
        <v/>
      </c>
      <c r="D38" s="8"/>
      <c r="E38" s="8"/>
      <c r="F38" s="8"/>
      <c r="G38" s="18"/>
    </row>
    <row r="39" ht="15.75" customHeight="1">
      <c r="A39" s="7"/>
      <c r="B39" s="8"/>
      <c r="C39" s="13" t="str">
        <f t="array" ref="C39">IF(B39="","",INDEX(Equipe!$C$2:$C$7,MATCH(B39,Equipe!$A$2:$A$7,0)))</f>
        <v/>
      </c>
      <c r="D39" s="8"/>
      <c r="E39" s="8"/>
      <c r="F39" s="8"/>
      <c r="G39" s="18"/>
    </row>
    <row r="40" ht="15.75" customHeight="1">
      <c r="A40" s="7"/>
      <c r="B40" s="8"/>
      <c r="C40" s="13" t="str">
        <f t="array" ref="C40">IF(B40="","",INDEX(Equipe!$C$2:$C$7,MATCH(B40,Equipe!$A$2:$A$7,0)))</f>
        <v/>
      </c>
      <c r="D40" s="8"/>
      <c r="E40" s="8"/>
      <c r="F40" s="8"/>
      <c r="G40" s="18"/>
    </row>
    <row r="41" ht="15.75" customHeight="1">
      <c r="A41" s="7"/>
      <c r="B41" s="8"/>
      <c r="C41" s="13" t="str">
        <f t="array" ref="C41">IF(B41="","",INDEX(Equipe!$C$2:$C$7,MATCH(B41,Equipe!$A$2:$A$7,0)))</f>
        <v/>
      </c>
      <c r="D41" s="8"/>
      <c r="E41" s="8"/>
      <c r="F41" s="8"/>
      <c r="G41" s="18"/>
    </row>
    <row r="42" ht="15.75" customHeight="1">
      <c r="A42" s="7"/>
      <c r="B42" s="8"/>
      <c r="C42" s="13" t="str">
        <f t="array" ref="C42">IF(B42="","",INDEX(Equipe!$C$2:$C$7,MATCH(B42,Equipe!$A$2:$A$7,0)))</f>
        <v/>
      </c>
      <c r="D42" s="8"/>
      <c r="E42" s="8"/>
      <c r="F42" s="8"/>
      <c r="G42" s="18"/>
    </row>
    <row r="43" ht="15.75" customHeight="1">
      <c r="A43" s="7"/>
      <c r="B43" s="8"/>
      <c r="C43" s="13" t="str">
        <f t="array" ref="C43">IF(B43="","",INDEX(Equipe!$C$2:$C$7,MATCH(B43,Equipe!$A$2:$A$7,0)))</f>
        <v/>
      </c>
      <c r="D43" s="8"/>
      <c r="E43" s="8"/>
      <c r="F43" s="8"/>
      <c r="G43" s="18"/>
    </row>
    <row r="44" ht="15.75" customHeight="1">
      <c r="A44" s="7"/>
      <c r="B44" s="8"/>
      <c r="C44" s="13" t="str">
        <f t="array" ref="C44">IF(B44="","",INDEX(Equipe!$C$2:$C$7,MATCH(B44,Equipe!$A$2:$A$7,0)))</f>
        <v/>
      </c>
      <c r="D44" s="8"/>
      <c r="E44" s="8"/>
      <c r="F44" s="8"/>
      <c r="G44" s="18"/>
    </row>
    <row r="45" ht="15.75" customHeight="1">
      <c r="A45" s="7"/>
      <c r="B45" s="8"/>
      <c r="C45" s="13" t="str">
        <f t="array" ref="C45">IF(B45="","",INDEX(Equipe!$C$2:$C$7,MATCH(B45,Equipe!$A$2:$A$7,0)))</f>
        <v/>
      </c>
      <c r="D45" s="8"/>
      <c r="E45" s="8"/>
      <c r="F45" s="8"/>
      <c r="G45" s="18"/>
    </row>
    <row r="46" ht="15.75" customHeight="1">
      <c r="A46" s="7"/>
      <c r="B46" s="8"/>
      <c r="C46" s="13" t="str">
        <f t="array" ref="C46">IF(B46="","",INDEX(Equipe!$C$2:$C$7,MATCH(B46,Equipe!$A$2:$A$7,0)))</f>
        <v/>
      </c>
      <c r="D46" s="8"/>
      <c r="E46" s="8"/>
      <c r="F46" s="8"/>
      <c r="G46" s="18"/>
    </row>
    <row r="47" ht="15.75" customHeight="1">
      <c r="A47" s="7"/>
      <c r="B47" s="8"/>
      <c r="C47" s="13" t="str">
        <f t="array" ref="C47">IF(B47="","",INDEX(Equipe!$C$2:$C$7,MATCH(B47,Equipe!$A$2:$A$7,0)))</f>
        <v/>
      </c>
      <c r="D47" s="8"/>
      <c r="E47" s="8"/>
      <c r="F47" s="8"/>
      <c r="G47" s="18"/>
    </row>
    <row r="48" ht="15.75" customHeight="1">
      <c r="A48" s="7"/>
      <c r="B48" s="8"/>
      <c r="C48" s="13" t="str">
        <f t="array" ref="C48">IF(B48="","",INDEX(Equipe!$C$2:$C$7,MATCH(B48,Equipe!$A$2:$A$7,0)))</f>
        <v/>
      </c>
      <c r="D48" s="8"/>
      <c r="E48" s="8"/>
      <c r="F48" s="8"/>
      <c r="G48" s="18"/>
    </row>
    <row r="49" ht="15.75" customHeight="1">
      <c r="A49" s="7"/>
      <c r="B49" s="8"/>
      <c r="C49" s="13" t="str">
        <f t="array" ref="C49">IF(B49="","",INDEX(Equipe!$C$2:$C$7,MATCH(B49,Equipe!$A$2:$A$7,0)))</f>
        <v/>
      </c>
      <c r="D49" s="8"/>
      <c r="E49" s="8"/>
      <c r="F49" s="8"/>
      <c r="G49" s="18"/>
    </row>
    <row r="50" ht="15.75" customHeight="1">
      <c r="A50" s="7"/>
      <c r="B50" s="8"/>
      <c r="C50" s="13" t="str">
        <f t="array" ref="C50">IF(B50="","",INDEX(Equipe!$C$2:$C$7,MATCH(B50,Equipe!$A$2:$A$7,0)))</f>
        <v/>
      </c>
      <c r="D50" s="8"/>
      <c r="E50" s="8"/>
      <c r="F50" s="8"/>
      <c r="G50" s="18"/>
    </row>
    <row r="51" ht="15.75" customHeight="1">
      <c r="A51" s="7"/>
      <c r="B51" s="8"/>
      <c r="C51" s="13" t="str">
        <f t="array" ref="C51">IF(B51="","",INDEX(Equipe!$C$2:$C$7,MATCH(B51,Equipe!$A$2:$A$7,0)))</f>
        <v/>
      </c>
      <c r="D51" s="8"/>
      <c r="E51" s="8"/>
      <c r="F51" s="8"/>
      <c r="G51" s="18"/>
    </row>
    <row r="52" ht="15.75" customHeight="1">
      <c r="A52" s="7"/>
      <c r="B52" s="8"/>
      <c r="C52" s="13" t="str">
        <f t="array" ref="C52">IF(B52="","",INDEX(Equipe!$C$2:$C$7,MATCH(B52,Equipe!$A$2:$A$7,0)))</f>
        <v/>
      </c>
      <c r="D52" s="8"/>
      <c r="E52" s="8"/>
      <c r="F52" s="8"/>
      <c r="G52" s="18"/>
    </row>
    <row r="53" ht="15.75" customHeight="1">
      <c r="A53" s="7"/>
      <c r="B53" s="8"/>
      <c r="C53" s="13" t="str">
        <f t="array" ref="C53">IF(B53="","",INDEX(Equipe!$C$2:$C$7,MATCH(B53,Equipe!$A$2:$A$7,0)))</f>
        <v/>
      </c>
      <c r="D53" s="8"/>
      <c r="E53" s="8"/>
      <c r="F53" s="8"/>
      <c r="G53" s="18"/>
    </row>
    <row r="54" ht="15.75" customHeight="1">
      <c r="A54" s="7"/>
      <c r="B54" s="8"/>
      <c r="C54" s="13" t="str">
        <f t="array" ref="C54">IF(B54="","",INDEX(Equipe!$C$2:$C$7,MATCH(B54,Equipe!$A$2:$A$7,0)))</f>
        <v/>
      </c>
      <c r="D54" s="8"/>
      <c r="E54" s="8"/>
      <c r="F54" s="8"/>
      <c r="G54" s="18"/>
    </row>
    <row r="55" ht="15.75" customHeight="1">
      <c r="A55" s="7"/>
      <c r="B55" s="8"/>
      <c r="C55" s="13" t="str">
        <f t="array" ref="C55">IF(B55="","",INDEX(Equipe!$C$2:$C$7,MATCH(B55,Equipe!$A$2:$A$7,0)))</f>
        <v/>
      </c>
      <c r="D55" s="8"/>
      <c r="E55" s="8"/>
      <c r="F55" s="8"/>
      <c r="G55" s="18"/>
    </row>
    <row r="56" ht="15.75" customHeight="1">
      <c r="A56" s="7"/>
      <c r="B56" s="8"/>
      <c r="C56" s="13" t="str">
        <f t="array" ref="C56">IF(B56="","",INDEX(Equipe!$C$2:$C$7,MATCH(B56,Equipe!$A$2:$A$7,0)))</f>
        <v/>
      </c>
      <c r="D56" s="8"/>
      <c r="E56" s="8"/>
      <c r="F56" s="8"/>
      <c r="G56" s="18"/>
    </row>
    <row r="57" ht="15.75" customHeight="1">
      <c r="A57" s="7"/>
      <c r="B57" s="8"/>
      <c r="C57" s="13" t="str">
        <f t="array" ref="C57">IF(B57="","",INDEX(Equipe!$C$2:$C$7,MATCH(B57,Equipe!$A$2:$A$7,0)))</f>
        <v/>
      </c>
      <c r="D57" s="8"/>
      <c r="E57" s="8"/>
      <c r="F57" s="8"/>
      <c r="G57" s="18"/>
    </row>
    <row r="58" ht="15.75" customHeight="1">
      <c r="A58" s="7"/>
      <c r="B58" s="8"/>
      <c r="C58" s="13" t="str">
        <f t="array" ref="C58">IF(B58="","",INDEX(Equipe!$C$2:$C$7,MATCH(B58,Equipe!$A$2:$A$7,0)))</f>
        <v/>
      </c>
      <c r="D58" s="8"/>
      <c r="E58" s="8"/>
      <c r="F58" s="8"/>
      <c r="G58" s="18"/>
    </row>
    <row r="59" ht="15.75" customHeight="1">
      <c r="A59" s="7"/>
      <c r="B59" s="8"/>
      <c r="C59" s="13" t="str">
        <f t="array" ref="C59">IF(B59="","",INDEX(Equipe!$C$2:$C$7,MATCH(B59,Equipe!$A$2:$A$7,0)))</f>
        <v/>
      </c>
      <c r="D59" s="8"/>
      <c r="E59" s="8"/>
      <c r="F59" s="8"/>
      <c r="G59" s="18"/>
    </row>
    <row r="60" ht="15.75" customHeight="1">
      <c r="A60" s="7"/>
      <c r="B60" s="8"/>
      <c r="C60" s="13" t="str">
        <f t="array" ref="C60">IF(B60="","",INDEX(Equipe!$C$2:$C$7,MATCH(B60,Equipe!$A$2:$A$7,0)))</f>
        <v/>
      </c>
      <c r="D60" s="8"/>
      <c r="E60" s="8"/>
      <c r="F60" s="8"/>
      <c r="G60" s="18"/>
    </row>
    <row r="61" ht="15.75" customHeight="1">
      <c r="A61" s="7"/>
      <c r="B61" s="8"/>
      <c r="C61" s="13" t="str">
        <f t="array" ref="C61">IF(B61="","",INDEX(Equipe!$C$2:$C$7,MATCH(B61,Equipe!$A$2:$A$7,0)))</f>
        <v/>
      </c>
      <c r="D61" s="8"/>
      <c r="E61" s="8"/>
      <c r="F61" s="8"/>
      <c r="G61" s="18"/>
    </row>
    <row r="62" ht="15.75" customHeight="1">
      <c r="A62" s="7"/>
      <c r="B62" s="8"/>
      <c r="C62" s="13" t="str">
        <f t="array" ref="C62">IF(B62="","",INDEX(Equipe!$C$2:$C$7,MATCH(B62,Equipe!$A$2:$A$7,0)))</f>
        <v/>
      </c>
      <c r="D62" s="8"/>
      <c r="E62" s="8"/>
      <c r="F62" s="8"/>
      <c r="G62" s="18"/>
    </row>
    <row r="63" ht="15.75" customHeight="1">
      <c r="A63" s="7"/>
      <c r="B63" s="8"/>
      <c r="C63" s="13" t="str">
        <f t="array" ref="C63">IF(B63="","",INDEX(Equipe!$C$2:$C$7,MATCH(B63,Equipe!$A$2:$A$7,0)))</f>
        <v/>
      </c>
      <c r="D63" s="8"/>
      <c r="E63" s="8"/>
      <c r="F63" s="8"/>
      <c r="G63" s="18"/>
    </row>
    <row r="64" ht="15.75" customHeight="1">
      <c r="A64" s="7"/>
      <c r="B64" s="8"/>
      <c r="C64" s="13" t="str">
        <f t="array" ref="C64">IF(B64="","",INDEX(Equipe!$C$2:$C$7,MATCH(B64,Equipe!$A$2:$A$7,0)))</f>
        <v/>
      </c>
      <c r="D64" s="8"/>
      <c r="E64" s="8"/>
      <c r="F64" s="8"/>
      <c r="G64" s="18"/>
    </row>
    <row r="65" ht="15.75" customHeight="1">
      <c r="A65" s="7"/>
      <c r="B65" s="8"/>
      <c r="C65" s="13" t="str">
        <f t="array" ref="C65">IF(B65="","",INDEX(Equipe!$C$2:$C$7,MATCH(B65,Equipe!$A$2:$A$7,0)))</f>
        <v/>
      </c>
      <c r="D65" s="8"/>
      <c r="E65" s="8"/>
      <c r="F65" s="8"/>
      <c r="G65" s="18"/>
    </row>
    <row r="66" ht="15.75" customHeight="1">
      <c r="A66" s="7"/>
      <c r="B66" s="8"/>
      <c r="C66" s="13" t="str">
        <f t="array" ref="C66">IF(B66="","",INDEX(Equipe!$C$2:$C$7,MATCH(B66,Equipe!$A$2:$A$7,0)))</f>
        <v/>
      </c>
      <c r="D66" s="8"/>
      <c r="E66" s="8"/>
      <c r="F66" s="8"/>
      <c r="G66" s="18"/>
    </row>
    <row r="67" ht="15.75" customHeight="1">
      <c r="A67" s="7"/>
      <c r="B67" s="8"/>
      <c r="C67" s="13" t="str">
        <f t="array" ref="C67">IF(B67="","",INDEX(Equipe!$C$2:$C$7,MATCH(B67,Equipe!$A$2:$A$7,0)))</f>
        <v/>
      </c>
      <c r="D67" s="8"/>
      <c r="E67" s="8"/>
      <c r="F67" s="8"/>
      <c r="G67" s="18"/>
    </row>
    <row r="68" ht="15.75" customHeight="1">
      <c r="A68" s="7"/>
      <c r="B68" s="8"/>
      <c r="C68" s="13" t="str">
        <f t="array" ref="C68">IF(B68="","",INDEX(Equipe!$C$2:$C$7,MATCH(B68,Equipe!$A$2:$A$7,0)))</f>
        <v/>
      </c>
      <c r="D68" s="8"/>
      <c r="E68" s="8"/>
      <c r="F68" s="8"/>
      <c r="G68" s="18"/>
    </row>
    <row r="69" ht="15.75" customHeight="1">
      <c r="A69" s="7"/>
      <c r="B69" s="8"/>
      <c r="C69" s="13" t="str">
        <f t="array" ref="C69">IF(B69="","",INDEX(Equipe!$C$2:$C$7,MATCH(B69,Equipe!$A$2:$A$7,0)))</f>
        <v/>
      </c>
      <c r="D69" s="8"/>
      <c r="E69" s="8"/>
      <c r="F69" s="8"/>
      <c r="G69" s="18"/>
    </row>
    <row r="70" ht="15.75" customHeight="1">
      <c r="A70" s="7"/>
      <c r="B70" s="8"/>
      <c r="C70" s="13" t="str">
        <f t="array" ref="C70">IF(B70="","",INDEX(Equipe!$C$2:$C$7,MATCH(B70,Equipe!$A$2:$A$7,0)))</f>
        <v/>
      </c>
      <c r="D70" s="8"/>
      <c r="E70" s="8"/>
      <c r="F70" s="8"/>
      <c r="G70" s="18"/>
    </row>
    <row r="71" ht="15.75" customHeight="1">
      <c r="A71" s="7"/>
      <c r="B71" s="8"/>
      <c r="C71" s="13" t="str">
        <f t="array" ref="C71">IF(B71="","",INDEX(Equipe!$C$2:$C$7,MATCH(B71,Equipe!$A$2:$A$7,0)))</f>
        <v/>
      </c>
      <c r="D71" s="8"/>
      <c r="E71" s="8"/>
      <c r="F71" s="8"/>
      <c r="G71" s="18"/>
    </row>
    <row r="72" ht="15.75" customHeight="1">
      <c r="A72" s="7"/>
      <c r="B72" s="8"/>
      <c r="C72" s="13" t="str">
        <f t="array" ref="C72">IF(B72="","",INDEX(Equipe!$C$2:$C$7,MATCH(B72,Equipe!$A$2:$A$7,0)))</f>
        <v/>
      </c>
      <c r="D72" s="8"/>
      <c r="E72" s="8"/>
      <c r="F72" s="8"/>
      <c r="G72" s="18"/>
    </row>
    <row r="73" ht="15.75" customHeight="1">
      <c r="A73" s="7"/>
      <c r="B73" s="8"/>
      <c r="C73" s="13" t="str">
        <f t="array" ref="C73">IF(B73="","",INDEX(Equipe!$C$2:$C$7,MATCH(B73,Equipe!$A$2:$A$7,0)))</f>
        <v/>
      </c>
      <c r="D73" s="8"/>
      <c r="E73" s="8"/>
      <c r="F73" s="8"/>
      <c r="G73" s="18"/>
    </row>
    <row r="74" ht="15.75" customHeight="1">
      <c r="A74" s="7"/>
      <c r="B74" s="8"/>
      <c r="C74" s="13" t="str">
        <f t="array" ref="C74">IF(B74="","",INDEX(Equipe!$C$2:$C$7,MATCH(B74,Equipe!$A$2:$A$7,0)))</f>
        <v/>
      </c>
      <c r="D74" s="8"/>
      <c r="E74" s="8"/>
      <c r="F74" s="8"/>
      <c r="G74" s="18"/>
    </row>
    <row r="75" ht="15.75" customHeight="1">
      <c r="A75" s="7"/>
      <c r="B75" s="8"/>
      <c r="C75" s="13" t="str">
        <f t="array" ref="C75">IF(B75="","",INDEX(Equipe!$C$2:$C$7,MATCH(B75,Equipe!$A$2:$A$7,0)))</f>
        <v/>
      </c>
      <c r="D75" s="8"/>
      <c r="E75" s="8"/>
      <c r="F75" s="8"/>
      <c r="G75" s="18"/>
    </row>
    <row r="76" ht="15.75" customHeight="1">
      <c r="A76" s="7"/>
      <c r="B76" s="8"/>
      <c r="C76" s="13" t="str">
        <f t="array" ref="C76">IF(B76="","",INDEX(Equipe!$C$2:$C$7,MATCH(B76,Equipe!$A$2:$A$7,0)))</f>
        <v/>
      </c>
      <c r="D76" s="8"/>
      <c r="E76" s="8"/>
      <c r="F76" s="8"/>
      <c r="G76" s="18"/>
    </row>
    <row r="77" ht="15.75" customHeight="1">
      <c r="A77" s="7"/>
      <c r="B77" s="8"/>
      <c r="C77" s="13" t="str">
        <f t="array" ref="C77">IF(B77="","",INDEX(Equipe!$C$2:$C$7,MATCH(B77,Equipe!$A$2:$A$7,0)))</f>
        <v/>
      </c>
      <c r="D77" s="8"/>
      <c r="E77" s="8"/>
      <c r="F77" s="8"/>
      <c r="G77" s="18"/>
    </row>
    <row r="78" ht="15.75" customHeight="1">
      <c r="A78" s="7"/>
      <c r="B78" s="8"/>
      <c r="C78" s="13" t="str">
        <f t="array" ref="C78">IF(B78="","",INDEX(Equipe!$C$2:$C$7,MATCH(B78,Equipe!$A$2:$A$7,0)))</f>
        <v/>
      </c>
      <c r="D78" s="8"/>
      <c r="E78" s="8"/>
      <c r="F78" s="8"/>
      <c r="G78" s="18"/>
    </row>
    <row r="79" ht="15.75" customHeight="1">
      <c r="A79" s="7"/>
      <c r="B79" s="8"/>
      <c r="C79" s="13" t="str">
        <f t="array" ref="C79">IF(B79="","",INDEX(Equipe!$C$2:$C$7,MATCH(B79,Equipe!$A$2:$A$7,0)))</f>
        <v/>
      </c>
      <c r="D79" s="8"/>
      <c r="E79" s="8"/>
      <c r="F79" s="8"/>
      <c r="G79" s="18"/>
    </row>
    <row r="80" ht="15.75" customHeight="1">
      <c r="A80" s="7"/>
      <c r="B80" s="8"/>
      <c r="C80" s="13" t="str">
        <f t="array" ref="C80">IF(B80="","",INDEX(Equipe!$C$2:$C$7,MATCH(B80,Equipe!$A$2:$A$7,0)))</f>
        <v/>
      </c>
      <c r="D80" s="8"/>
      <c r="E80" s="8"/>
      <c r="F80" s="8"/>
      <c r="G80" s="18"/>
    </row>
    <row r="81" ht="15.75" customHeight="1">
      <c r="A81" s="7"/>
      <c r="B81" s="8"/>
      <c r="C81" s="13" t="str">
        <f t="array" ref="C81">IF(B81="","",INDEX(Equipe!$C$2:$C$7,MATCH(B81,Equipe!$A$2:$A$7,0)))</f>
        <v/>
      </c>
      <c r="D81" s="8"/>
      <c r="E81" s="8"/>
      <c r="F81" s="8"/>
      <c r="G81" s="18"/>
    </row>
    <row r="82" ht="15.75" customHeight="1">
      <c r="A82" s="7"/>
      <c r="B82" s="8"/>
      <c r="C82" s="13" t="str">
        <f t="array" ref="C82">IF(B82="","",INDEX(Equipe!$C$2:$C$7,MATCH(B82,Equipe!$A$2:$A$7,0)))</f>
        <v/>
      </c>
      <c r="D82" s="8"/>
      <c r="E82" s="8"/>
      <c r="F82" s="8"/>
      <c r="G82" s="18"/>
    </row>
    <row r="83" ht="15.75" customHeight="1">
      <c r="A83" s="7"/>
      <c r="B83" s="8"/>
      <c r="C83" s="13" t="str">
        <f t="array" ref="C83">IF(B83="","",INDEX(Equipe!$C$2:$C$7,MATCH(B83,Equipe!$A$2:$A$7,0)))</f>
        <v/>
      </c>
      <c r="D83" s="8"/>
      <c r="E83" s="8"/>
      <c r="F83" s="8"/>
      <c r="G83" s="18"/>
    </row>
    <row r="84" ht="15.75" customHeight="1">
      <c r="A84" s="7"/>
      <c r="B84" s="8"/>
      <c r="C84" s="13" t="str">
        <f t="array" ref="C84">IF(B84="","",INDEX(Equipe!$C$2:$C$7,MATCH(B84,Equipe!$A$2:$A$7,0)))</f>
        <v/>
      </c>
      <c r="D84" s="8"/>
      <c r="E84" s="8"/>
      <c r="F84" s="8"/>
      <c r="G84" s="18"/>
    </row>
    <row r="85" ht="15.75" customHeight="1">
      <c r="A85" s="7"/>
      <c r="B85" s="8"/>
      <c r="C85" s="13" t="str">
        <f t="array" ref="C85">IF(B85="","",INDEX(Equipe!$C$2:$C$7,MATCH(B85,Equipe!$A$2:$A$7,0)))</f>
        <v/>
      </c>
      <c r="D85" s="8"/>
      <c r="E85" s="8"/>
      <c r="F85" s="8"/>
      <c r="G85" s="18"/>
    </row>
    <row r="86" ht="15.75" customHeight="1">
      <c r="A86" s="7"/>
      <c r="B86" s="8"/>
      <c r="C86" s="13" t="str">
        <f t="array" ref="C86">IF(B86="","",INDEX(Equipe!$C$2:$C$7,MATCH(B86,Equipe!$A$2:$A$7,0)))</f>
        <v/>
      </c>
      <c r="D86" s="8"/>
      <c r="E86" s="8"/>
      <c r="F86" s="8"/>
      <c r="G86" s="18"/>
    </row>
    <row r="87" ht="15.75" customHeight="1">
      <c r="A87" s="7"/>
      <c r="B87" s="8"/>
      <c r="C87" s="13" t="str">
        <f t="array" ref="C87">IF(B87="","",INDEX(Equipe!$C$2:$C$7,MATCH(B87,Equipe!$A$2:$A$7,0)))</f>
        <v/>
      </c>
      <c r="D87" s="8"/>
      <c r="E87" s="8"/>
      <c r="F87" s="8"/>
      <c r="G87" s="18"/>
    </row>
    <row r="88" ht="15.75" customHeight="1">
      <c r="A88" s="7"/>
      <c r="B88" s="8"/>
      <c r="C88" s="13" t="str">
        <f t="array" ref="C88">IF(B88="","",INDEX(Equipe!$C$2:$C$7,MATCH(B88,Equipe!$A$2:$A$7,0)))</f>
        <v/>
      </c>
      <c r="D88" s="8"/>
      <c r="E88" s="8"/>
      <c r="F88" s="8"/>
      <c r="G88" s="18"/>
    </row>
    <row r="89" ht="15.75" customHeight="1">
      <c r="A89" s="7"/>
      <c r="B89" s="8"/>
      <c r="C89" s="13" t="str">
        <f t="array" ref="C89">IF(B89="","",INDEX(Equipe!$C$2:$C$7,MATCH(B89,Equipe!$A$2:$A$7,0)))</f>
        <v/>
      </c>
      <c r="D89" s="8"/>
      <c r="E89" s="8"/>
      <c r="F89" s="8"/>
      <c r="G89" s="18"/>
    </row>
    <row r="90" ht="15.75" customHeight="1">
      <c r="A90" s="7"/>
      <c r="B90" s="8"/>
      <c r="C90" s="13" t="str">
        <f t="array" ref="C90">IF(B90="","",INDEX(Equipe!$C$2:$C$7,MATCH(B90,Equipe!$A$2:$A$7,0)))</f>
        <v/>
      </c>
      <c r="D90" s="8"/>
      <c r="E90" s="8"/>
      <c r="F90" s="8"/>
      <c r="G90" s="18"/>
    </row>
    <row r="91" ht="15.75" customHeight="1">
      <c r="A91" s="7"/>
      <c r="B91" s="8"/>
      <c r="C91" s="13" t="str">
        <f t="array" ref="C91">IF(B91="","",INDEX(Equipe!$C$2:$C$7,MATCH(B91,Equipe!$A$2:$A$7,0)))</f>
        <v/>
      </c>
      <c r="D91" s="8"/>
      <c r="E91" s="8"/>
      <c r="F91" s="8"/>
      <c r="G91" s="18"/>
    </row>
    <row r="92" ht="15.75" customHeight="1">
      <c r="A92" s="7"/>
      <c r="B92" s="8"/>
      <c r="C92" s="13" t="str">
        <f t="array" ref="C92">IF(B92="","",INDEX(Equipe!$C$2:$C$7,MATCH(B92,Equipe!$A$2:$A$7,0)))</f>
        <v/>
      </c>
      <c r="D92" s="8"/>
      <c r="E92" s="8"/>
      <c r="F92" s="8"/>
      <c r="G92" s="18"/>
    </row>
    <row r="93" ht="15.75" customHeight="1">
      <c r="A93" s="7"/>
      <c r="B93" s="8"/>
      <c r="C93" s="13" t="str">
        <f t="array" ref="C93">IF(B93="","",INDEX(Equipe!$C$2:$C$7,MATCH(B93,Equipe!$A$2:$A$7,0)))</f>
        <v/>
      </c>
      <c r="D93" s="8"/>
      <c r="E93" s="8"/>
      <c r="F93" s="8"/>
      <c r="G93" s="18"/>
    </row>
    <row r="94" ht="15.75" customHeight="1">
      <c r="A94" s="7"/>
      <c r="B94" s="8"/>
      <c r="C94" s="13" t="str">
        <f t="array" ref="C94">IF(B94="","",INDEX(Equipe!$C$2:$C$7,MATCH(B94,Equipe!$A$2:$A$7,0)))</f>
        <v/>
      </c>
      <c r="D94" s="8"/>
      <c r="E94" s="8"/>
      <c r="F94" s="8"/>
      <c r="G94" s="18"/>
    </row>
    <row r="95" ht="15.75" customHeight="1">
      <c r="A95" s="7"/>
      <c r="B95" s="8"/>
      <c r="C95" s="13" t="str">
        <f t="array" ref="C95">IF(B95="","",INDEX(Equipe!$C$2:$C$7,MATCH(B95,Equipe!$A$2:$A$7,0)))</f>
        <v/>
      </c>
      <c r="D95" s="8"/>
      <c r="E95" s="8"/>
      <c r="F95" s="8"/>
      <c r="G95" s="18"/>
    </row>
    <row r="96" ht="15.75" customHeight="1">
      <c r="A96" s="7"/>
      <c r="B96" s="8"/>
      <c r="C96" s="13" t="str">
        <f t="array" ref="C96">IF(B96="","",INDEX(Equipe!$C$2:$C$7,MATCH(B96,Equipe!$A$2:$A$7,0)))</f>
        <v/>
      </c>
      <c r="D96" s="8"/>
      <c r="E96" s="8"/>
      <c r="F96" s="8"/>
      <c r="G96" s="18"/>
    </row>
    <row r="97" ht="15.75" customHeight="1">
      <c r="A97" s="7"/>
      <c r="B97" s="8"/>
      <c r="C97" s="13" t="str">
        <f t="array" ref="C97">IF(B97="","",INDEX(Equipe!$C$2:$C$7,MATCH(B97,Equipe!$A$2:$A$7,0)))</f>
        <v/>
      </c>
      <c r="D97" s="8"/>
      <c r="E97" s="8"/>
      <c r="F97" s="8"/>
      <c r="G97" s="18"/>
    </row>
    <row r="98" ht="15.75" customHeight="1">
      <c r="A98" s="7"/>
      <c r="B98" s="8"/>
      <c r="C98" s="13" t="str">
        <f t="array" ref="C98">IF(B98="","",INDEX(Equipe!$C$2:$C$7,MATCH(B98,Equipe!$A$2:$A$7,0)))</f>
        <v/>
      </c>
      <c r="D98" s="8"/>
      <c r="E98" s="8"/>
      <c r="F98" s="8"/>
      <c r="G98" s="18"/>
    </row>
    <row r="99" ht="15.75" customHeight="1">
      <c r="A99" s="7"/>
      <c r="B99" s="8"/>
      <c r="C99" s="13" t="str">
        <f t="array" ref="C99">IF(B99="","",INDEX(Equipe!$C$2:$C$7,MATCH(B99,Equipe!$A$2:$A$7,0)))</f>
        <v/>
      </c>
      <c r="D99" s="8"/>
      <c r="E99" s="8"/>
      <c r="F99" s="8"/>
      <c r="G99" s="18"/>
    </row>
    <row r="100" ht="15.75" customHeight="1">
      <c r="A100" s="7"/>
      <c r="B100" s="8"/>
      <c r="C100" s="13" t="str">
        <f t="array" ref="C100">IF(B100="","",INDEX(Equipe!$C$2:$C$7,MATCH(B100,Equipe!$A$2:$A$7,0)))</f>
        <v/>
      </c>
      <c r="D100" s="8"/>
      <c r="E100" s="8"/>
      <c r="F100" s="8"/>
      <c r="G100" s="18"/>
    </row>
    <row r="101" ht="15.75" customHeight="1">
      <c r="A101" s="7"/>
      <c r="B101" s="8"/>
      <c r="C101" s="13" t="str">
        <f t="array" ref="C101">IF(B101="","",INDEX(Equipe!$C$2:$C$7,MATCH(B101,Equipe!$A$2:$A$7,0)))</f>
        <v/>
      </c>
      <c r="D101" s="8"/>
      <c r="E101" s="8"/>
      <c r="F101" s="8"/>
      <c r="G101" s="18"/>
    </row>
    <row r="102" ht="15.75" customHeight="1">
      <c r="A102" s="7"/>
      <c r="B102" s="8"/>
      <c r="C102" s="13" t="str">
        <f t="array" ref="C102">IF(B102="","",INDEX(Equipe!$C$2:$C$7,MATCH(B102,Equipe!$A$2:$A$7,0)))</f>
        <v/>
      </c>
      <c r="D102" s="8"/>
      <c r="E102" s="8"/>
      <c r="F102" s="8"/>
      <c r="G102" s="18"/>
    </row>
    <row r="103" ht="15.75" customHeight="1">
      <c r="A103" s="7"/>
      <c r="B103" s="8"/>
      <c r="C103" s="13" t="str">
        <f t="array" ref="C103">IF(B103="","",INDEX(Equipe!$C$2:$C$7,MATCH(B103,Equipe!$A$2:$A$7,0)))</f>
        <v/>
      </c>
      <c r="D103" s="8"/>
      <c r="E103" s="8"/>
      <c r="F103" s="8"/>
      <c r="G103" s="18"/>
    </row>
    <row r="104" ht="15.75" customHeight="1">
      <c r="A104" s="7"/>
      <c r="B104" s="8"/>
      <c r="C104" s="13" t="str">
        <f t="array" ref="C104">IF(B104="","",INDEX(Equipe!$C$2:$C$7,MATCH(B104,Equipe!$A$2:$A$7,0)))</f>
        <v/>
      </c>
      <c r="D104" s="8"/>
      <c r="E104" s="8"/>
      <c r="F104" s="8"/>
      <c r="G104" s="18"/>
    </row>
    <row r="105" ht="15.75" customHeight="1">
      <c r="A105" s="7"/>
      <c r="B105" s="8"/>
      <c r="C105" s="13" t="str">
        <f t="array" ref="C105">IF(B105="","",INDEX(Equipe!$C$2:$C$7,MATCH(B105,Equipe!$A$2:$A$7,0)))</f>
        <v/>
      </c>
      <c r="D105" s="8"/>
      <c r="E105" s="8"/>
      <c r="F105" s="8"/>
      <c r="G105" s="18"/>
    </row>
    <row r="106" ht="15.75" customHeight="1">
      <c r="A106" s="7"/>
      <c r="B106" s="8"/>
      <c r="C106" s="13" t="str">
        <f t="array" ref="C106">IF(B106="","",INDEX(Equipe!$C$2:$C$7,MATCH(B106,Equipe!$A$2:$A$7,0)))</f>
        <v/>
      </c>
      <c r="D106" s="8"/>
      <c r="E106" s="8"/>
      <c r="F106" s="8"/>
      <c r="G106" s="18"/>
    </row>
    <row r="107" ht="15.75" customHeight="1">
      <c r="A107" s="7"/>
      <c r="B107" s="8"/>
      <c r="C107" s="13" t="str">
        <f t="array" ref="C107">IF(B107="","",INDEX(Equipe!$C$2:$C$7,MATCH(B107,Equipe!$A$2:$A$7,0)))</f>
        <v/>
      </c>
      <c r="D107" s="8"/>
      <c r="E107" s="8"/>
      <c r="F107" s="8"/>
      <c r="G107" s="18"/>
    </row>
    <row r="108" ht="15.75" customHeight="1">
      <c r="A108" s="7"/>
      <c r="B108" s="8"/>
      <c r="C108" s="13" t="str">
        <f t="array" ref="C108">IF(B108="","",INDEX(Equipe!$C$2:$C$7,MATCH(B108,Equipe!$A$2:$A$7,0)))</f>
        <v/>
      </c>
      <c r="D108" s="8"/>
      <c r="E108" s="8"/>
      <c r="F108" s="8"/>
      <c r="G108" s="18"/>
    </row>
    <row r="109" ht="15.75" customHeight="1">
      <c r="A109" s="7"/>
      <c r="B109" s="8"/>
      <c r="C109" s="13" t="str">
        <f t="array" ref="C109">IF(B109="","",INDEX(Equipe!$C$2:$C$7,MATCH(B109,Equipe!$A$2:$A$7,0)))</f>
        <v/>
      </c>
      <c r="D109" s="8"/>
      <c r="E109" s="8"/>
      <c r="F109" s="8"/>
      <c r="G109" s="18"/>
    </row>
    <row r="110" ht="15.75" customHeight="1">
      <c r="A110" s="7"/>
      <c r="B110" s="8"/>
      <c r="C110" s="13" t="str">
        <f t="array" ref="C110">IF(B110="","",INDEX(Equipe!$C$2:$C$7,MATCH(B110,Equipe!$A$2:$A$7,0)))</f>
        <v/>
      </c>
      <c r="D110" s="8"/>
      <c r="E110" s="8"/>
      <c r="F110" s="8"/>
      <c r="G110" s="18"/>
    </row>
    <row r="111" ht="15.75" customHeight="1">
      <c r="A111" s="7"/>
      <c r="B111" s="8"/>
      <c r="C111" s="13" t="str">
        <f t="array" ref="C111">IF(B111="","",INDEX(Equipe!$C$2:$C$7,MATCH(B111,Equipe!$A$2:$A$7,0)))</f>
        <v/>
      </c>
      <c r="D111" s="8"/>
      <c r="E111" s="8"/>
      <c r="F111" s="8"/>
      <c r="G111" s="18"/>
    </row>
    <row r="112" ht="15.75" customHeight="1">
      <c r="A112" s="7"/>
      <c r="B112" s="8"/>
      <c r="C112" s="13" t="str">
        <f t="array" ref="C112">IF(B112="","",INDEX(Equipe!$C$2:$C$7,MATCH(B112,Equipe!$A$2:$A$7,0)))</f>
        <v/>
      </c>
      <c r="D112" s="8"/>
      <c r="E112" s="8"/>
      <c r="F112" s="8"/>
      <c r="G112" s="18"/>
    </row>
    <row r="113" ht="15.75" customHeight="1">
      <c r="A113" s="7"/>
      <c r="B113" s="8"/>
      <c r="C113" s="13" t="str">
        <f t="array" ref="C113">IF(B113="","",INDEX(Equipe!$C$2:$C$7,MATCH(B113,Equipe!$A$2:$A$7,0)))</f>
        <v/>
      </c>
      <c r="D113" s="8"/>
      <c r="E113" s="8"/>
      <c r="F113" s="8"/>
      <c r="G113" s="18"/>
    </row>
    <row r="114" ht="15.75" customHeight="1">
      <c r="A114" s="7"/>
      <c r="B114" s="8"/>
      <c r="C114" s="13" t="str">
        <f t="array" ref="C114">IF(B114="","",INDEX(Equipe!$C$2:$C$7,MATCH(B114,Equipe!$A$2:$A$7,0)))</f>
        <v/>
      </c>
      <c r="D114" s="8"/>
      <c r="E114" s="8"/>
      <c r="F114" s="8"/>
      <c r="G114" s="18"/>
    </row>
    <row r="115" ht="15.75" customHeight="1">
      <c r="A115" s="7"/>
      <c r="B115" s="8"/>
      <c r="C115" s="13" t="str">
        <f t="array" ref="C115">IF(B115="","",INDEX(Equipe!$C$2:$C$7,MATCH(B115,Equipe!$A$2:$A$7,0)))</f>
        <v/>
      </c>
      <c r="D115" s="8"/>
      <c r="E115" s="8"/>
      <c r="F115" s="8"/>
      <c r="G115" s="18"/>
    </row>
    <row r="116" ht="15.75" customHeight="1">
      <c r="A116" s="7"/>
      <c r="B116" s="8"/>
      <c r="C116" s="13" t="str">
        <f t="array" ref="C116">IF(B116="","",INDEX(Equipe!$C$2:$C$7,MATCH(B116,Equipe!$A$2:$A$7,0)))</f>
        <v/>
      </c>
      <c r="D116" s="8"/>
      <c r="E116" s="8"/>
      <c r="F116" s="8"/>
      <c r="G116" s="18"/>
    </row>
    <row r="117" ht="15.75" customHeight="1">
      <c r="A117" s="7"/>
      <c r="B117" s="8"/>
      <c r="C117" s="13" t="str">
        <f t="array" ref="C117">IF(B117="","",INDEX(Equipe!$C$2:$C$7,MATCH(B117,Equipe!$A$2:$A$7,0)))</f>
        <v/>
      </c>
      <c r="D117" s="8"/>
      <c r="E117" s="8"/>
      <c r="F117" s="8"/>
      <c r="G117" s="18"/>
    </row>
    <row r="118" ht="15.75" customHeight="1">
      <c r="A118" s="7"/>
      <c r="B118" s="8"/>
      <c r="C118" s="13" t="str">
        <f t="array" ref="C118">IF(B118="","",INDEX(Equipe!$C$2:$C$7,MATCH(B118,Equipe!$A$2:$A$7,0)))</f>
        <v/>
      </c>
      <c r="D118" s="8"/>
      <c r="E118" s="8"/>
      <c r="F118" s="8"/>
      <c r="G118" s="18"/>
    </row>
    <row r="119" ht="15.75" customHeight="1">
      <c r="A119" s="7"/>
      <c r="B119" s="8"/>
      <c r="C119" s="13" t="str">
        <f t="array" ref="C119">IF(B119="","",INDEX(Equipe!$C$2:$C$7,MATCH(B119,Equipe!$A$2:$A$7,0)))</f>
        <v/>
      </c>
      <c r="D119" s="8"/>
      <c r="E119" s="8"/>
      <c r="F119" s="8"/>
      <c r="G119" s="18"/>
    </row>
    <row r="120" ht="15.75" customHeight="1">
      <c r="A120" s="7"/>
      <c r="B120" s="8"/>
      <c r="C120" s="13" t="str">
        <f t="array" ref="C120">IF(B120="","",INDEX(Equipe!$C$2:$C$7,MATCH(B120,Equipe!$A$2:$A$7,0)))</f>
        <v/>
      </c>
      <c r="D120" s="8"/>
      <c r="E120" s="8"/>
      <c r="F120" s="8"/>
      <c r="G120" s="18"/>
    </row>
    <row r="121" ht="15.75" customHeight="1">
      <c r="A121" s="7"/>
      <c r="B121" s="8"/>
      <c r="C121" s="13" t="str">
        <f t="array" ref="C121">IF(B121="","",INDEX(Equipe!$C$2:$C$7,MATCH(B121,Equipe!$A$2:$A$7,0)))</f>
        <v/>
      </c>
      <c r="D121" s="8"/>
      <c r="E121" s="8"/>
      <c r="F121" s="8"/>
      <c r="G121" s="18"/>
    </row>
    <row r="122" ht="15.75" customHeight="1">
      <c r="A122" s="7"/>
      <c r="B122" s="8"/>
      <c r="C122" s="13" t="str">
        <f t="array" ref="C122">IF(B122="","",INDEX(Equipe!$C$2:$C$7,MATCH(B122,Equipe!$A$2:$A$7,0)))</f>
        <v/>
      </c>
      <c r="D122" s="8"/>
      <c r="E122" s="8"/>
      <c r="F122" s="8"/>
      <c r="G122" s="18"/>
    </row>
    <row r="123" ht="15.75" customHeight="1">
      <c r="A123" s="7"/>
      <c r="B123" s="8"/>
      <c r="C123" s="13" t="str">
        <f t="array" ref="C123">IF(B123="","",INDEX(Equipe!$C$2:$C$7,MATCH(B123,Equipe!$A$2:$A$7,0)))</f>
        <v/>
      </c>
      <c r="D123" s="8"/>
      <c r="E123" s="8"/>
      <c r="F123" s="8"/>
      <c r="G123" s="18"/>
    </row>
    <row r="124" ht="15.75" customHeight="1">
      <c r="A124" s="7"/>
      <c r="B124" s="8"/>
      <c r="C124" s="13" t="str">
        <f t="array" ref="C124">IF(B124="","",INDEX(Equipe!$C$2:$C$7,MATCH(B124,Equipe!$A$2:$A$7,0)))</f>
        <v/>
      </c>
      <c r="D124" s="8"/>
      <c r="E124" s="8"/>
      <c r="F124" s="8"/>
      <c r="G124" s="18"/>
    </row>
    <row r="125" ht="15.75" customHeight="1">
      <c r="A125" s="7"/>
      <c r="B125" s="8"/>
      <c r="C125" s="13" t="str">
        <f t="array" ref="C125">IF(B125="","",INDEX(Equipe!$C$2:$C$7,MATCH(B125,Equipe!$A$2:$A$7,0)))</f>
        <v/>
      </c>
      <c r="D125" s="8"/>
      <c r="E125" s="8"/>
      <c r="F125" s="8"/>
      <c r="G125" s="18"/>
    </row>
    <row r="126" ht="15.75" customHeight="1">
      <c r="A126" s="7"/>
      <c r="B126" s="8"/>
      <c r="C126" s="13" t="str">
        <f t="array" ref="C126">IF(B126="","",INDEX(Equipe!$C$2:$C$7,MATCH(B126,Equipe!$A$2:$A$7,0)))</f>
        <v/>
      </c>
      <c r="D126" s="8"/>
      <c r="E126" s="8"/>
      <c r="F126" s="8"/>
      <c r="G126" s="18"/>
    </row>
    <row r="127" ht="15.75" customHeight="1">
      <c r="A127" s="7"/>
      <c r="B127" s="8"/>
      <c r="C127" s="13" t="str">
        <f t="array" ref="C127">IF(B127="","",INDEX(Equipe!$C$2:$C$7,MATCH(B127,Equipe!$A$2:$A$7,0)))</f>
        <v/>
      </c>
      <c r="D127" s="8"/>
      <c r="E127" s="8"/>
      <c r="F127" s="8"/>
      <c r="G127" s="18"/>
    </row>
    <row r="128" ht="15.75" customHeight="1">
      <c r="A128" s="7"/>
      <c r="B128" s="8"/>
      <c r="C128" s="13" t="str">
        <f t="array" ref="C128">IF(B128="","",INDEX(Equipe!$C$2:$C$7,MATCH(B128,Equipe!$A$2:$A$7,0)))</f>
        <v/>
      </c>
      <c r="D128" s="8"/>
      <c r="E128" s="8"/>
      <c r="F128" s="8"/>
      <c r="G128" s="18"/>
    </row>
    <row r="129" ht="15.75" customHeight="1">
      <c r="A129" s="7"/>
      <c r="B129" s="8"/>
      <c r="C129" s="13" t="str">
        <f t="array" ref="C129">IF(B129="","",INDEX(Equipe!$C$2:$C$7,MATCH(B129,Equipe!$A$2:$A$7,0)))</f>
        <v/>
      </c>
      <c r="D129" s="8"/>
      <c r="E129" s="8"/>
      <c r="F129" s="8"/>
      <c r="G129" s="18"/>
    </row>
    <row r="130" ht="15.75" customHeight="1">
      <c r="A130" s="7"/>
      <c r="B130" s="8"/>
      <c r="C130" s="13" t="str">
        <f t="array" ref="C130">IF(B130="","",INDEX(Equipe!$C$2:$C$7,MATCH(B130,Equipe!$A$2:$A$7,0)))</f>
        <v/>
      </c>
      <c r="D130" s="8"/>
      <c r="E130" s="8"/>
      <c r="F130" s="8"/>
      <c r="G130" s="18"/>
    </row>
    <row r="131" ht="15.75" customHeight="1">
      <c r="A131" s="7"/>
      <c r="B131" s="8"/>
      <c r="C131" s="13" t="str">
        <f t="array" ref="C131">IF(B131="","",INDEX(Equipe!$C$2:$C$7,MATCH(B131,Equipe!$A$2:$A$7,0)))</f>
        <v/>
      </c>
      <c r="D131" s="8"/>
      <c r="E131" s="8"/>
      <c r="F131" s="8"/>
      <c r="G131" s="18"/>
    </row>
    <row r="132" ht="15.75" customHeight="1">
      <c r="A132" s="7"/>
      <c r="B132" s="8"/>
      <c r="C132" s="13" t="str">
        <f t="array" ref="C132">IF(B132="","",INDEX(Equipe!$C$2:$C$7,MATCH(B132,Equipe!$A$2:$A$7,0)))</f>
        <v/>
      </c>
      <c r="D132" s="8"/>
      <c r="E132" s="8"/>
      <c r="F132" s="8"/>
      <c r="G132" s="18"/>
    </row>
    <row r="133" ht="15.75" customHeight="1">
      <c r="A133" s="7"/>
      <c r="B133" s="8"/>
      <c r="C133" s="13" t="str">
        <f t="array" ref="C133">IF(B133="","",INDEX(Equipe!$C$2:$C$7,MATCH(B133,Equipe!$A$2:$A$7,0)))</f>
        <v/>
      </c>
      <c r="D133" s="8"/>
      <c r="E133" s="8"/>
      <c r="F133" s="8"/>
      <c r="G133" s="18"/>
    </row>
    <row r="134" ht="15.75" customHeight="1">
      <c r="A134" s="7"/>
      <c r="B134" s="8"/>
      <c r="C134" s="13" t="str">
        <f t="array" ref="C134">IF(B134="","",INDEX(Equipe!$C$2:$C$7,MATCH(B134,Equipe!$A$2:$A$7,0)))</f>
        <v/>
      </c>
      <c r="D134" s="8"/>
      <c r="E134" s="8"/>
      <c r="F134" s="8"/>
      <c r="G134" s="18"/>
    </row>
    <row r="135" ht="15.75" customHeight="1">
      <c r="A135" s="7"/>
      <c r="B135" s="8"/>
      <c r="C135" s="13" t="str">
        <f t="array" ref="C135">IF(B135="","",INDEX(Equipe!$C$2:$C$7,MATCH(B135,Equipe!$A$2:$A$7,0)))</f>
        <v/>
      </c>
      <c r="D135" s="8"/>
      <c r="E135" s="8"/>
      <c r="F135" s="8"/>
      <c r="G135" s="18"/>
    </row>
    <row r="136" ht="15.75" customHeight="1">
      <c r="A136" s="7"/>
      <c r="B136" s="8"/>
      <c r="C136" s="13" t="str">
        <f t="array" ref="C136">IF(B136="","",INDEX(Equipe!$C$2:$C$7,MATCH(B136,Equipe!$A$2:$A$7,0)))</f>
        <v/>
      </c>
      <c r="D136" s="8"/>
      <c r="E136" s="8"/>
      <c r="F136" s="8"/>
      <c r="G136" s="18"/>
    </row>
    <row r="137" ht="15.75" customHeight="1">
      <c r="A137" s="7"/>
      <c r="B137" s="8"/>
      <c r="C137" s="13" t="str">
        <f t="array" ref="C137">IF(B137="","",INDEX(Equipe!$C$2:$C$7,MATCH(B137,Equipe!$A$2:$A$7,0)))</f>
        <v/>
      </c>
      <c r="D137" s="8"/>
      <c r="E137" s="8"/>
      <c r="F137" s="8"/>
      <c r="G137" s="18"/>
    </row>
    <row r="138" ht="15.75" customHeight="1">
      <c r="A138" s="7"/>
      <c r="B138" s="8"/>
      <c r="C138" s="13" t="str">
        <f t="array" ref="C138">IF(B138="","",INDEX(Equipe!$C$2:$C$7,MATCH(B138,Equipe!$A$2:$A$7,0)))</f>
        <v/>
      </c>
      <c r="D138" s="8"/>
      <c r="E138" s="8"/>
      <c r="F138" s="8"/>
      <c r="G138" s="18"/>
    </row>
    <row r="139" ht="15.75" customHeight="1">
      <c r="A139" s="7"/>
      <c r="B139" s="8"/>
      <c r="C139" s="13" t="str">
        <f t="array" ref="C139">IF(B139="","",INDEX(Equipe!$C$2:$C$7,MATCH(B139,Equipe!$A$2:$A$7,0)))</f>
        <v/>
      </c>
      <c r="D139" s="8"/>
      <c r="E139" s="8"/>
      <c r="F139" s="8"/>
      <c r="G139" s="18"/>
    </row>
    <row r="140" ht="15.75" customHeight="1">
      <c r="A140" s="7"/>
      <c r="B140" s="8"/>
      <c r="C140" s="13" t="str">
        <f t="array" ref="C140">IF(B140="","",INDEX(Equipe!$C$2:$C$7,MATCH(B140,Equipe!$A$2:$A$7,0)))</f>
        <v/>
      </c>
      <c r="D140" s="8"/>
      <c r="E140" s="8"/>
      <c r="F140" s="8"/>
      <c r="G140" s="18"/>
    </row>
    <row r="141" ht="15.75" customHeight="1">
      <c r="A141" s="7"/>
      <c r="B141" s="8"/>
      <c r="C141" s="13" t="str">
        <f t="array" ref="C141">IF(B141="","",INDEX(Equipe!$C$2:$C$7,MATCH(B141,Equipe!$A$2:$A$7,0)))</f>
        <v/>
      </c>
      <c r="D141" s="8"/>
      <c r="E141" s="8"/>
      <c r="F141" s="8"/>
      <c r="G141" s="18"/>
    </row>
    <row r="142" ht="15.75" customHeight="1">
      <c r="A142" s="7"/>
      <c r="B142" s="8"/>
      <c r="C142" s="13" t="str">
        <f t="array" ref="C142">IF(B142="","",INDEX(Equipe!$C$2:$C$7,MATCH(B142,Equipe!$A$2:$A$7,0)))</f>
        <v/>
      </c>
      <c r="D142" s="8"/>
      <c r="E142" s="8"/>
      <c r="F142" s="8"/>
      <c r="G142" s="18"/>
    </row>
    <row r="143" ht="15.75" customHeight="1">
      <c r="A143" s="7"/>
      <c r="B143" s="8"/>
      <c r="C143" s="13" t="str">
        <f t="array" ref="C143">IF(B143="","",INDEX(Equipe!$C$2:$C$7,MATCH(B143,Equipe!$A$2:$A$7,0)))</f>
        <v/>
      </c>
      <c r="D143" s="8"/>
      <c r="E143" s="8"/>
      <c r="F143" s="8"/>
      <c r="G143" s="18"/>
    </row>
    <row r="144" ht="15.75" customHeight="1">
      <c r="A144" s="7"/>
      <c r="B144" s="8"/>
      <c r="C144" s="13" t="str">
        <f t="array" ref="C144">IF(B144="","",INDEX(Equipe!$C$2:$C$7,MATCH(B144,Equipe!$A$2:$A$7,0)))</f>
        <v/>
      </c>
      <c r="D144" s="8"/>
      <c r="E144" s="8"/>
      <c r="F144" s="8"/>
      <c r="G144" s="18"/>
    </row>
    <row r="145" ht="15.75" customHeight="1">
      <c r="A145" s="7"/>
      <c r="B145" s="8"/>
      <c r="C145" s="13" t="str">
        <f t="array" ref="C145">IF(B145="","",INDEX(Equipe!$C$2:$C$7,MATCH(B145,Equipe!$A$2:$A$7,0)))</f>
        <v/>
      </c>
      <c r="D145" s="8"/>
      <c r="E145" s="8"/>
      <c r="F145" s="8"/>
      <c r="G145" s="18"/>
    </row>
    <row r="146" ht="15.75" customHeight="1">
      <c r="A146" s="7"/>
      <c r="B146" s="8"/>
      <c r="C146" s="13" t="str">
        <f t="array" ref="C146">IF(B146="","",INDEX(Equipe!$C$2:$C$7,MATCH(B146,Equipe!$A$2:$A$7,0)))</f>
        <v/>
      </c>
      <c r="D146" s="8"/>
      <c r="E146" s="8"/>
      <c r="F146" s="8"/>
      <c r="G146" s="18"/>
    </row>
    <row r="147" ht="15.75" customHeight="1">
      <c r="A147" s="7"/>
      <c r="B147" s="8"/>
      <c r="C147" s="13" t="str">
        <f t="array" ref="C147">IF(B147="","",INDEX(Equipe!$C$2:$C$7,MATCH(B147,Equipe!$A$2:$A$7,0)))</f>
        <v/>
      </c>
      <c r="D147" s="8"/>
      <c r="E147" s="8"/>
      <c r="F147" s="8"/>
      <c r="G147" s="18"/>
    </row>
    <row r="148" ht="15.75" customHeight="1">
      <c r="A148" s="7"/>
      <c r="B148" s="8"/>
      <c r="C148" s="13" t="str">
        <f t="array" ref="C148">IF(B148="","",INDEX(Equipe!$C$2:$C$7,MATCH(B148,Equipe!$A$2:$A$7,0)))</f>
        <v/>
      </c>
      <c r="D148" s="8"/>
      <c r="E148" s="8"/>
      <c r="F148" s="8"/>
      <c r="G148" s="18"/>
    </row>
    <row r="149" ht="15.75" customHeight="1">
      <c r="A149" s="7"/>
      <c r="B149" s="8"/>
      <c r="C149" s="13" t="str">
        <f t="array" ref="C149">IF(B149="","",INDEX(Equipe!$C$2:$C$7,MATCH(B149,Equipe!$A$2:$A$7,0)))</f>
        <v/>
      </c>
      <c r="D149" s="8"/>
      <c r="E149" s="8"/>
      <c r="F149" s="8"/>
      <c r="G149" s="18"/>
    </row>
    <row r="150" ht="15.75" customHeight="1">
      <c r="A150" s="7"/>
      <c r="B150" s="8"/>
      <c r="C150" s="13" t="str">
        <f t="array" ref="C150">IF(B150="","",INDEX(Equipe!$C$2:$C$7,MATCH(B150,Equipe!$A$2:$A$7,0)))</f>
        <v/>
      </c>
      <c r="D150" s="8"/>
      <c r="E150" s="8"/>
      <c r="F150" s="8"/>
      <c r="G150" s="18"/>
    </row>
    <row r="151" ht="15.75" customHeight="1">
      <c r="A151" s="7"/>
      <c r="B151" s="8"/>
      <c r="C151" s="13" t="str">
        <f t="array" ref="C151">IF(B151="","",INDEX(Equipe!$C$2:$C$7,MATCH(B151,Equipe!$A$2:$A$7,0)))</f>
        <v/>
      </c>
      <c r="D151" s="8"/>
      <c r="E151" s="8"/>
      <c r="F151" s="8"/>
      <c r="G151" s="18"/>
    </row>
    <row r="152" ht="15.75" customHeight="1">
      <c r="A152" s="7"/>
      <c r="B152" s="8"/>
      <c r="C152" s="13" t="str">
        <f t="array" ref="C152">IF(B152="","",INDEX(Equipe!$C$2:$C$7,MATCH(B152,Equipe!$A$2:$A$7,0)))</f>
        <v/>
      </c>
      <c r="D152" s="8"/>
      <c r="E152" s="8"/>
      <c r="F152" s="8"/>
      <c r="G152" s="18"/>
    </row>
    <row r="153" ht="15.75" customHeight="1">
      <c r="A153" s="7"/>
      <c r="B153" s="8"/>
      <c r="C153" s="13" t="str">
        <f t="array" ref="C153">IF(B153="","",INDEX(Equipe!$C$2:$C$7,MATCH(B153,Equipe!$A$2:$A$7,0)))</f>
        <v/>
      </c>
      <c r="D153" s="8"/>
      <c r="E153" s="8"/>
      <c r="F153" s="8"/>
      <c r="G153" s="18"/>
    </row>
    <row r="154" ht="15.75" customHeight="1">
      <c r="A154" s="7"/>
      <c r="B154" s="8"/>
      <c r="C154" s="13" t="str">
        <f t="array" ref="C154">IF(B154="","",INDEX(Equipe!$C$2:$C$7,MATCH(B154,Equipe!$A$2:$A$7,0)))</f>
        <v/>
      </c>
      <c r="D154" s="8"/>
      <c r="E154" s="8"/>
      <c r="F154" s="8"/>
      <c r="G154" s="18"/>
    </row>
    <row r="155" ht="15.75" customHeight="1">
      <c r="A155" s="7"/>
      <c r="B155" s="8"/>
      <c r="C155" s="13" t="str">
        <f t="array" ref="C155">IF(B155="","",INDEX(Equipe!$C$2:$C$7,MATCH(B155,Equipe!$A$2:$A$7,0)))</f>
        <v/>
      </c>
      <c r="D155" s="8"/>
      <c r="E155" s="8"/>
      <c r="F155" s="8"/>
      <c r="G155" s="18"/>
    </row>
    <row r="156" ht="15.75" customHeight="1">
      <c r="A156" s="7"/>
      <c r="B156" s="8"/>
      <c r="C156" s="13" t="str">
        <f t="array" ref="C156">IF(B156="","",INDEX(Equipe!$C$2:$C$7,MATCH(B156,Equipe!$A$2:$A$7,0)))</f>
        <v/>
      </c>
      <c r="D156" s="8"/>
      <c r="E156" s="8"/>
      <c r="F156" s="8"/>
      <c r="G156" s="18"/>
    </row>
    <row r="157" ht="15.75" customHeight="1">
      <c r="A157" s="7"/>
      <c r="B157" s="8"/>
      <c r="C157" s="13" t="str">
        <f t="array" ref="C157">IF(B157="","",INDEX(Equipe!$C$2:$C$7,MATCH(B157,Equipe!$A$2:$A$7,0)))</f>
        <v/>
      </c>
      <c r="D157" s="8"/>
      <c r="E157" s="8"/>
      <c r="F157" s="8"/>
      <c r="G157" s="18"/>
    </row>
    <row r="158" ht="15.75" customHeight="1">
      <c r="A158" s="7"/>
      <c r="B158" s="8"/>
      <c r="C158" s="13" t="str">
        <f t="array" ref="C158">IF(B158="","",INDEX(Equipe!$C$2:$C$7,MATCH(B158,Equipe!$A$2:$A$7,0)))</f>
        <v/>
      </c>
      <c r="D158" s="8"/>
      <c r="E158" s="8"/>
      <c r="F158" s="8"/>
      <c r="G158" s="18"/>
    </row>
    <row r="159" ht="15.75" customHeight="1">
      <c r="A159" s="7"/>
      <c r="B159" s="8"/>
      <c r="C159" s="13" t="str">
        <f t="array" ref="C159">IF(B159="","",INDEX(Equipe!$C$2:$C$7,MATCH(B159,Equipe!$A$2:$A$7,0)))</f>
        <v/>
      </c>
      <c r="D159" s="8"/>
      <c r="E159" s="8"/>
      <c r="F159" s="8"/>
      <c r="G159" s="18"/>
    </row>
    <row r="160" ht="15.75" customHeight="1">
      <c r="A160" s="7"/>
      <c r="B160" s="8"/>
      <c r="C160" s="13" t="str">
        <f t="array" ref="C160">IF(B160="","",INDEX(Equipe!$C$2:$C$7,MATCH(B160,Equipe!$A$2:$A$7,0)))</f>
        <v/>
      </c>
      <c r="D160" s="8"/>
      <c r="E160" s="8"/>
      <c r="F160" s="8"/>
      <c r="G160" s="18"/>
    </row>
    <row r="161" ht="15.75" customHeight="1">
      <c r="A161" s="7"/>
      <c r="B161" s="8"/>
      <c r="C161" s="13" t="str">
        <f t="array" ref="C161">IF(B161="","",INDEX(Equipe!$C$2:$C$7,MATCH(B161,Equipe!$A$2:$A$7,0)))</f>
        <v/>
      </c>
      <c r="D161" s="8"/>
      <c r="E161" s="8"/>
      <c r="F161" s="8"/>
      <c r="G161" s="18"/>
    </row>
    <row r="162" ht="15.75" customHeight="1">
      <c r="A162" s="7"/>
      <c r="B162" s="8"/>
      <c r="C162" s="13" t="str">
        <f t="array" ref="C162">IF(B162="","",INDEX(Equipe!$C$2:$C$7,MATCH(B162,Equipe!$A$2:$A$7,0)))</f>
        <v/>
      </c>
      <c r="D162" s="8"/>
      <c r="E162" s="8"/>
      <c r="F162" s="8"/>
      <c r="G162" s="18"/>
    </row>
    <row r="163" ht="15.75" customHeight="1">
      <c r="A163" s="7"/>
      <c r="B163" s="8"/>
      <c r="C163" s="13" t="str">
        <f t="array" ref="C163">IF(B163="","",INDEX(Equipe!$C$2:$C$7,MATCH(B163,Equipe!$A$2:$A$7,0)))</f>
        <v/>
      </c>
      <c r="D163" s="8"/>
      <c r="E163" s="8"/>
      <c r="F163" s="8"/>
      <c r="G163" s="18"/>
    </row>
    <row r="164" ht="15.75" customHeight="1">
      <c r="A164" s="7"/>
      <c r="B164" s="8"/>
      <c r="C164" s="13" t="str">
        <f t="array" ref="C164">IF(B164="","",INDEX(Equipe!$C$2:$C$7,MATCH(B164,Equipe!$A$2:$A$7,0)))</f>
        <v/>
      </c>
      <c r="D164" s="8"/>
      <c r="E164" s="8"/>
      <c r="F164" s="8"/>
      <c r="G164" s="18"/>
    </row>
    <row r="165" ht="15.75" customHeight="1">
      <c r="A165" s="7"/>
      <c r="B165" s="8"/>
      <c r="C165" s="13" t="str">
        <f t="array" ref="C165">IF(B165="","",INDEX(Equipe!$C$2:$C$7,MATCH(B165,Equipe!$A$2:$A$7,0)))</f>
        <v/>
      </c>
      <c r="D165" s="8"/>
      <c r="E165" s="8"/>
      <c r="F165" s="8"/>
      <c r="G165" s="18"/>
    </row>
    <row r="166" ht="15.75" customHeight="1">
      <c r="A166" s="7"/>
      <c r="B166" s="8"/>
      <c r="C166" s="13" t="str">
        <f t="array" ref="C166">IF(B166="","",INDEX(Equipe!$C$2:$C$7,MATCH(B166,Equipe!$A$2:$A$7,0)))</f>
        <v/>
      </c>
      <c r="D166" s="8"/>
      <c r="E166" s="8"/>
      <c r="F166" s="8"/>
      <c r="G166" s="18"/>
    </row>
    <row r="167" ht="15.75" customHeight="1">
      <c r="A167" s="7"/>
      <c r="B167" s="8"/>
      <c r="C167" s="13" t="str">
        <f t="array" ref="C167">IF(B167="","",INDEX(Equipe!$C$2:$C$7,MATCH(B167,Equipe!$A$2:$A$7,0)))</f>
        <v/>
      </c>
      <c r="D167" s="8"/>
      <c r="E167" s="8"/>
      <c r="F167" s="8"/>
      <c r="G167" s="18"/>
    </row>
    <row r="168" ht="15.75" customHeight="1">
      <c r="A168" s="7"/>
      <c r="B168" s="8"/>
      <c r="C168" s="13" t="str">
        <f t="array" ref="C168">IF(B168="","",INDEX(Equipe!$C$2:$C$7,MATCH(B168,Equipe!$A$2:$A$7,0)))</f>
        <v/>
      </c>
      <c r="D168" s="8"/>
      <c r="E168" s="8"/>
      <c r="F168" s="8"/>
      <c r="G168" s="18"/>
    </row>
    <row r="169" ht="15.75" customHeight="1">
      <c r="A169" s="7"/>
      <c r="B169" s="8"/>
      <c r="C169" s="13" t="str">
        <f t="array" ref="C169">IF(B169="","",INDEX(Equipe!$C$2:$C$7,MATCH(B169,Equipe!$A$2:$A$7,0)))</f>
        <v/>
      </c>
      <c r="D169" s="8"/>
      <c r="E169" s="8"/>
      <c r="F169" s="8"/>
      <c r="G169" s="18"/>
    </row>
    <row r="170" ht="15.75" customHeight="1">
      <c r="A170" s="7"/>
      <c r="B170" s="8"/>
      <c r="C170" s="13" t="str">
        <f t="array" ref="C170">IF(B170="","",INDEX(Equipe!$C$2:$C$7,MATCH(B170,Equipe!$A$2:$A$7,0)))</f>
        <v/>
      </c>
      <c r="D170" s="8"/>
      <c r="E170" s="8"/>
      <c r="F170" s="8"/>
      <c r="G170" s="18"/>
    </row>
    <row r="171" ht="15.75" customHeight="1">
      <c r="A171" s="7"/>
      <c r="B171" s="8"/>
      <c r="C171" s="13" t="str">
        <f t="array" ref="C171">IF(B171="","",INDEX(Equipe!$C$2:$C$7,MATCH(B171,Equipe!$A$2:$A$7,0)))</f>
        <v/>
      </c>
      <c r="D171" s="8"/>
      <c r="E171" s="8"/>
      <c r="F171" s="8"/>
      <c r="G171" s="18"/>
    </row>
    <row r="172" ht="15.75" customHeight="1">
      <c r="A172" s="7"/>
      <c r="B172" s="8"/>
      <c r="C172" s="13" t="str">
        <f t="array" ref="C172">IF(B172="","",INDEX(Equipe!$C$2:$C$7,MATCH(B172,Equipe!$A$2:$A$7,0)))</f>
        <v/>
      </c>
      <c r="D172" s="8"/>
      <c r="E172" s="8"/>
      <c r="F172" s="8"/>
      <c r="G172" s="18"/>
    </row>
    <row r="173" ht="15.75" customHeight="1">
      <c r="A173" s="7"/>
      <c r="B173" s="8"/>
      <c r="C173" s="13" t="str">
        <f t="array" ref="C173">IF(B173="","",INDEX(Equipe!$C$2:$C$7,MATCH(B173,Equipe!$A$2:$A$7,0)))</f>
        <v/>
      </c>
      <c r="D173" s="8"/>
      <c r="E173" s="8"/>
      <c r="F173" s="8"/>
      <c r="G173" s="18"/>
    </row>
    <row r="174" ht="15.75" customHeight="1">
      <c r="A174" s="7"/>
      <c r="B174" s="8"/>
      <c r="C174" s="13" t="str">
        <f t="array" ref="C174">IF(B174="","",INDEX(Equipe!$C$2:$C$7,MATCH(B174,Equipe!$A$2:$A$7,0)))</f>
        <v/>
      </c>
      <c r="D174" s="8"/>
      <c r="E174" s="8"/>
      <c r="F174" s="8"/>
      <c r="G174" s="18"/>
    </row>
    <row r="175" ht="15.75" customHeight="1">
      <c r="A175" s="7"/>
      <c r="B175" s="8"/>
      <c r="C175" s="13" t="str">
        <f t="array" ref="C175">IF(B175="","",INDEX(Equipe!$C$2:$C$7,MATCH(B175,Equipe!$A$2:$A$7,0)))</f>
        <v/>
      </c>
      <c r="D175" s="8"/>
      <c r="E175" s="8"/>
      <c r="F175" s="8"/>
      <c r="G175" s="18"/>
    </row>
    <row r="176" ht="15.75" customHeight="1">
      <c r="A176" s="7"/>
      <c r="B176" s="8"/>
      <c r="C176" s="13" t="str">
        <f t="array" ref="C176">IF(B176="","",INDEX(Equipe!$C$2:$C$7,MATCH(B176,Equipe!$A$2:$A$7,0)))</f>
        <v/>
      </c>
      <c r="D176" s="8"/>
      <c r="E176" s="8"/>
      <c r="F176" s="8"/>
      <c r="G176" s="18"/>
    </row>
    <row r="177" ht="15.75" customHeight="1">
      <c r="A177" s="7"/>
      <c r="B177" s="8"/>
      <c r="C177" s="13" t="str">
        <f t="array" ref="C177">IF(B177="","",INDEX(Equipe!$C$2:$C$7,MATCH(B177,Equipe!$A$2:$A$7,0)))</f>
        <v/>
      </c>
      <c r="D177" s="8"/>
      <c r="E177" s="8"/>
      <c r="F177" s="8"/>
      <c r="G177" s="18"/>
    </row>
    <row r="178" ht="15.75" customHeight="1">
      <c r="A178" s="7"/>
      <c r="B178" s="8"/>
      <c r="C178" s="13" t="str">
        <f t="array" ref="C178">IF(B178="","",INDEX(Equipe!$C$2:$C$7,MATCH(B178,Equipe!$A$2:$A$7,0)))</f>
        <v/>
      </c>
      <c r="D178" s="8"/>
      <c r="E178" s="8"/>
      <c r="F178" s="8"/>
      <c r="G178" s="18"/>
    </row>
    <row r="179" ht="15.75" customHeight="1">
      <c r="A179" s="7"/>
      <c r="B179" s="8"/>
      <c r="C179" s="13" t="str">
        <f t="array" ref="C179">IF(B179="","",INDEX(Equipe!$C$2:$C$7,MATCH(B179,Equipe!$A$2:$A$7,0)))</f>
        <v/>
      </c>
      <c r="D179" s="8"/>
      <c r="E179" s="8"/>
      <c r="F179" s="8"/>
      <c r="G179" s="18"/>
    </row>
    <row r="180" ht="15.75" customHeight="1">
      <c r="A180" s="7"/>
      <c r="B180" s="8"/>
      <c r="C180" s="13" t="str">
        <f t="array" ref="C180">IF(B180="","",INDEX(Equipe!$C$2:$C$7,MATCH(B180,Equipe!$A$2:$A$7,0)))</f>
        <v/>
      </c>
      <c r="D180" s="8"/>
      <c r="E180" s="8"/>
      <c r="F180" s="8"/>
      <c r="G180" s="18"/>
    </row>
    <row r="181" ht="15.75" customHeight="1">
      <c r="A181" s="7"/>
      <c r="B181" s="8"/>
      <c r="C181" s="13" t="str">
        <f t="array" ref="C181">IF(B181="","",INDEX(Equipe!$C$2:$C$7,MATCH(B181,Equipe!$A$2:$A$7,0)))</f>
        <v/>
      </c>
      <c r="D181" s="8"/>
      <c r="E181" s="8"/>
      <c r="F181" s="8"/>
      <c r="G181" s="18"/>
    </row>
    <row r="182" ht="15.75" customHeight="1">
      <c r="A182" s="7"/>
      <c r="B182" s="8"/>
      <c r="C182" s="13" t="str">
        <f t="array" ref="C182">IF(B182="","",INDEX(Equipe!$C$2:$C$7,MATCH(B182,Equipe!$A$2:$A$7,0)))</f>
        <v/>
      </c>
      <c r="D182" s="8"/>
      <c r="E182" s="8"/>
      <c r="F182" s="8"/>
      <c r="G182" s="18"/>
    </row>
    <row r="183" ht="15.75" customHeight="1">
      <c r="A183" s="7"/>
      <c r="B183" s="8"/>
      <c r="C183" s="13" t="str">
        <f t="array" ref="C183">IF(B183="","",INDEX(Equipe!$C$2:$C$7,MATCH(B183,Equipe!$A$2:$A$7,0)))</f>
        <v/>
      </c>
      <c r="D183" s="8"/>
      <c r="E183" s="8"/>
      <c r="F183" s="8"/>
      <c r="G183" s="18"/>
    </row>
    <row r="184" ht="15.75" customHeight="1">
      <c r="A184" s="7"/>
      <c r="B184" s="8"/>
      <c r="C184" s="13" t="str">
        <f t="array" ref="C184">IF(B184="","",INDEX(Equipe!$C$2:$C$7,MATCH(B184,Equipe!$A$2:$A$7,0)))</f>
        <v/>
      </c>
      <c r="D184" s="8"/>
      <c r="E184" s="8"/>
      <c r="F184" s="8"/>
      <c r="G184" s="18"/>
    </row>
    <row r="185" ht="15.75" customHeight="1">
      <c r="A185" s="7"/>
      <c r="B185" s="8"/>
      <c r="C185" s="13" t="str">
        <f t="array" ref="C185">IF(B185="","",INDEX(Equipe!$C$2:$C$7,MATCH(B185,Equipe!$A$2:$A$7,0)))</f>
        <v/>
      </c>
      <c r="D185" s="8"/>
      <c r="E185" s="8"/>
      <c r="F185" s="8"/>
      <c r="G185" s="18"/>
    </row>
    <row r="186" ht="15.75" customHeight="1">
      <c r="A186" s="7"/>
      <c r="B186" s="8"/>
      <c r="C186" s="13" t="str">
        <f t="array" ref="C186">IF(B186="","",INDEX(Equipe!$C$2:$C$7,MATCH(B186,Equipe!$A$2:$A$7,0)))</f>
        <v/>
      </c>
      <c r="D186" s="8"/>
      <c r="E186" s="8"/>
      <c r="F186" s="8"/>
      <c r="G186" s="18"/>
    </row>
    <row r="187" ht="15.75" customHeight="1">
      <c r="A187" s="7"/>
      <c r="B187" s="8"/>
      <c r="C187" s="13" t="str">
        <f t="array" ref="C187">IF(B187="","",INDEX(Equipe!$C$2:$C$7,MATCH(B187,Equipe!$A$2:$A$7,0)))</f>
        <v/>
      </c>
      <c r="D187" s="8"/>
      <c r="E187" s="8"/>
      <c r="F187" s="8"/>
      <c r="G187" s="18"/>
    </row>
    <row r="188" ht="15.75" customHeight="1">
      <c r="A188" s="7"/>
      <c r="B188" s="8"/>
      <c r="C188" s="13" t="str">
        <f t="array" ref="C188">IF(B188="","",INDEX(Equipe!$C$2:$C$7,MATCH(B188,Equipe!$A$2:$A$7,0)))</f>
        <v/>
      </c>
      <c r="D188" s="8"/>
      <c r="E188" s="8"/>
      <c r="F188" s="8"/>
      <c r="G188" s="18"/>
    </row>
    <row r="189" ht="15.75" customHeight="1">
      <c r="A189" s="7"/>
      <c r="B189" s="8"/>
      <c r="C189" s="13" t="str">
        <f t="array" ref="C189">IF(B189="","",INDEX(Equipe!$C$2:$C$7,MATCH(B189,Equipe!$A$2:$A$7,0)))</f>
        <v/>
      </c>
      <c r="D189" s="8"/>
      <c r="E189" s="8"/>
      <c r="F189" s="8"/>
      <c r="G189" s="18"/>
    </row>
    <row r="190" ht="15.75" customHeight="1">
      <c r="A190" s="7"/>
      <c r="B190" s="8"/>
      <c r="C190" s="13" t="str">
        <f t="array" ref="C190">IF(B190="","",INDEX(Equipe!$C$2:$C$7,MATCH(B190,Equipe!$A$2:$A$7,0)))</f>
        <v/>
      </c>
      <c r="D190" s="8"/>
      <c r="E190" s="8"/>
      <c r="F190" s="8"/>
      <c r="G190" s="18"/>
    </row>
    <row r="191" ht="15.75" customHeight="1">
      <c r="A191" s="7"/>
      <c r="B191" s="8"/>
      <c r="C191" s="13" t="str">
        <f t="array" ref="C191">IF(B191="","",INDEX(Equipe!$C$2:$C$7,MATCH(B191,Equipe!$A$2:$A$7,0)))</f>
        <v/>
      </c>
      <c r="D191" s="8"/>
      <c r="E191" s="8"/>
      <c r="F191" s="8"/>
      <c r="G191" s="18"/>
    </row>
    <row r="192" ht="15.75" customHeight="1">
      <c r="A192" s="7"/>
      <c r="B192" s="8"/>
      <c r="C192" s="13" t="str">
        <f t="array" ref="C192">IF(B192="","",INDEX(Equipe!$C$2:$C$7,MATCH(B192,Equipe!$A$2:$A$7,0)))</f>
        <v/>
      </c>
      <c r="D192" s="8"/>
      <c r="E192" s="8"/>
      <c r="F192" s="8"/>
      <c r="G192" s="18"/>
    </row>
    <row r="193" ht="15.75" customHeight="1">
      <c r="A193" s="7"/>
      <c r="B193" s="8"/>
      <c r="C193" s="13" t="str">
        <f t="array" ref="C193">IF(B193="","",INDEX(Equipe!$C$2:$C$7,MATCH(B193,Equipe!$A$2:$A$7,0)))</f>
        <v/>
      </c>
      <c r="D193" s="8"/>
      <c r="E193" s="8"/>
      <c r="F193" s="8"/>
      <c r="G193" s="18"/>
    </row>
    <row r="194" ht="15.75" customHeight="1">
      <c r="A194" s="7"/>
      <c r="B194" s="8"/>
      <c r="C194" s="13" t="str">
        <f t="array" ref="C194">IF(B194="","",INDEX(Equipe!$C$2:$C$7,MATCH(B194,Equipe!$A$2:$A$7,0)))</f>
        <v/>
      </c>
      <c r="D194" s="8"/>
      <c r="E194" s="8"/>
      <c r="F194" s="8"/>
      <c r="G194" s="18"/>
    </row>
    <row r="195" ht="15.75" customHeight="1">
      <c r="A195" s="7"/>
      <c r="B195" s="8"/>
      <c r="C195" s="13" t="str">
        <f t="array" ref="C195">IF(B195="","",INDEX(Equipe!$C$2:$C$7,MATCH(B195,Equipe!$A$2:$A$7,0)))</f>
        <v/>
      </c>
      <c r="D195" s="8"/>
      <c r="E195" s="8"/>
      <c r="F195" s="8"/>
      <c r="G195" s="18"/>
    </row>
    <row r="196" ht="15.75" customHeight="1">
      <c r="A196" s="7"/>
      <c r="B196" s="8"/>
      <c r="C196" s="13" t="str">
        <f t="array" ref="C196">IF(B196="","",INDEX(Equipe!$C$2:$C$7,MATCH(B196,Equipe!$A$2:$A$7,0)))</f>
        <v/>
      </c>
      <c r="D196" s="8"/>
      <c r="E196" s="8"/>
      <c r="F196" s="8"/>
      <c r="G196" s="18"/>
    </row>
    <row r="197" ht="15.75" customHeight="1">
      <c r="A197" s="7"/>
      <c r="B197" s="8"/>
      <c r="C197" s="13" t="str">
        <f t="array" ref="C197">IF(B197="","",INDEX(Equipe!$C$2:$C$7,MATCH(B197,Equipe!$A$2:$A$7,0)))</f>
        <v/>
      </c>
      <c r="D197" s="8"/>
      <c r="E197" s="8"/>
      <c r="F197" s="8"/>
      <c r="G197" s="18"/>
    </row>
    <row r="198" ht="15.75" customHeight="1">
      <c r="A198" s="7"/>
      <c r="B198" s="8"/>
      <c r="C198" s="13" t="str">
        <f t="array" ref="C198">IF(B198="","",INDEX(Equipe!$C$2:$C$7,MATCH(B198,Equipe!$A$2:$A$7,0)))</f>
        <v/>
      </c>
      <c r="D198" s="8"/>
      <c r="E198" s="8"/>
      <c r="F198" s="8"/>
      <c r="G198" s="18"/>
    </row>
    <row r="199" ht="15.75" customHeight="1">
      <c r="A199" s="7"/>
      <c r="B199" s="8"/>
      <c r="C199" s="13" t="str">
        <f t="array" ref="C199">IF(B199="","",INDEX(Equipe!$C$2:$C$7,MATCH(B199,Equipe!$A$2:$A$7,0)))</f>
        <v/>
      </c>
      <c r="D199" s="8"/>
      <c r="E199" s="8"/>
      <c r="F199" s="8"/>
      <c r="G199" s="18"/>
    </row>
    <row r="200" ht="15.75" customHeight="1">
      <c r="A200" s="7"/>
      <c r="B200" s="8"/>
      <c r="C200" s="13" t="str">
        <f t="array" ref="C200">IF(B200="","",INDEX(Equipe!$C$2:$C$7,MATCH(B200,Equipe!$A$2:$A$7,0)))</f>
        <v/>
      </c>
      <c r="D200" s="8"/>
      <c r="E200" s="8"/>
      <c r="F200" s="8"/>
      <c r="G200" s="18"/>
    </row>
    <row r="201" ht="15.75" customHeight="1">
      <c r="A201" s="7"/>
      <c r="B201" s="8"/>
      <c r="C201" s="13" t="str">
        <f t="array" ref="C201">IF(B201="","",INDEX(Equipe!$C$2:$C$7,MATCH(B201,Equipe!$A$2:$A$7,0)))</f>
        <v/>
      </c>
      <c r="D201" s="8"/>
      <c r="E201" s="8"/>
      <c r="F201" s="8"/>
      <c r="G201" s="18"/>
    </row>
    <row r="202" ht="15.75" customHeight="1">
      <c r="A202" s="7"/>
      <c r="B202" s="8"/>
      <c r="C202" s="13" t="str">
        <f t="array" ref="C202">IF(B202="","",INDEX(Equipe!$C$2:$C$7,MATCH(B202,Equipe!$A$2:$A$7,0)))</f>
        <v/>
      </c>
      <c r="D202" s="8"/>
      <c r="E202" s="8"/>
      <c r="F202" s="8"/>
      <c r="G202" s="18"/>
    </row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dataValidations>
    <dataValidation type="decimal" allowBlank="1" sqref="G2:G202">
      <formula1>0.0</formula1>
      <formula2>24.0</formula2>
    </dataValidation>
    <dataValidation type="list" allowBlank="1" sqref="B2:B202">
      <formula1>Equipe!$A$2:$A$7</formula1>
    </dataValidation>
    <dataValidation type="date" operator="greaterThan" allowBlank="1" sqref="A2:A202">
      <formula1>46000.0</formula1>
    </dataValidation>
    <dataValidation type="list" allowBlank="1" sqref="E2:E30 E32:E202">
      <formula1>"Gestão,Fase 1,Fase 2,Fase 3,Fase 4,Artigo,GitPage"</formula1>
    </dataValidation>
    <dataValidation type="list" allowBlank="1" sqref="E31">
      <formula1>"Gestão,Fase 1,Fase 2,Fase 3,Fase 4,Artigo,GitPage,Slides"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3.0" topLeftCell="B4" activePane="bottomRight" state="frozen"/>
      <selection activeCell="B1" sqref="B1" pane="topRight"/>
      <selection activeCell="A4" sqref="A4" pane="bottomLeft"/>
      <selection activeCell="B4" sqref="B4" pane="bottomRight"/>
    </sheetView>
  </sheetViews>
  <sheetFormatPr customHeight="1" defaultColWidth="14.43" defaultRowHeight="15.0"/>
  <cols>
    <col customWidth="1" min="1" max="1" width="30.57"/>
    <col customWidth="1" min="2" max="2" width="8.57"/>
    <col customWidth="1" min="3" max="10" width="9.0"/>
    <col customWidth="1" min="11" max="26" width="8.71"/>
  </cols>
  <sheetData>
    <row r="1">
      <c r="A1" s="1" t="s">
        <v>8</v>
      </c>
    </row>
    <row r="3">
      <c r="A3" s="4" t="s">
        <v>11</v>
      </c>
      <c r="B3" s="6">
        <v>46300.0</v>
      </c>
      <c r="C3" s="6">
        <v>46307.0</v>
      </c>
      <c r="D3" s="6">
        <v>46314.0</v>
      </c>
      <c r="E3" s="6">
        <v>46321.0</v>
      </c>
      <c r="F3" s="6">
        <v>46328.0</v>
      </c>
      <c r="G3" s="6">
        <v>46335.0</v>
      </c>
      <c r="H3" s="6">
        <v>46342.0</v>
      </c>
      <c r="I3" s="6">
        <v>46349.0</v>
      </c>
      <c r="J3" s="4" t="s">
        <v>24</v>
      </c>
    </row>
    <row r="4">
      <c r="A4" s="9" t="str">
        <f>Equipe!A2</f>
        <v>Davi</v>
      </c>
      <c r="B4" s="10">
        <v>6.0</v>
      </c>
      <c r="C4" s="10">
        <v>7.0</v>
      </c>
      <c r="D4" s="10">
        <v>5.0</v>
      </c>
      <c r="E4" s="11"/>
      <c r="F4" s="11"/>
      <c r="G4" s="11"/>
      <c r="H4" s="11"/>
      <c r="I4" s="11"/>
      <c r="J4" s="12">
        <f t="shared" ref="J4:J9" si="1">SUM(B4:I4)</f>
        <v>18</v>
      </c>
    </row>
    <row r="5">
      <c r="A5" s="9" t="str">
        <f>Equipe!A3</f>
        <v>Pedro</v>
      </c>
      <c r="B5" s="10">
        <v>2.0</v>
      </c>
      <c r="C5" s="10">
        <v>4.0</v>
      </c>
      <c r="D5" s="10">
        <v>5.0</v>
      </c>
      <c r="E5" s="11"/>
      <c r="F5" s="11"/>
      <c r="G5" s="11"/>
      <c r="H5" s="11"/>
      <c r="I5" s="11"/>
      <c r="J5" s="12">
        <f t="shared" si="1"/>
        <v>11</v>
      </c>
    </row>
    <row r="6">
      <c r="A6" s="9" t="str">
        <f>Equipe!A4</f>
        <v>Karolina</v>
      </c>
      <c r="B6" s="10">
        <v>3.0</v>
      </c>
      <c r="C6" s="10">
        <v>4.0</v>
      </c>
      <c r="D6" s="10">
        <v>5.0</v>
      </c>
      <c r="E6" s="11"/>
      <c r="F6" s="11"/>
      <c r="G6" s="11"/>
      <c r="H6" s="11"/>
      <c r="I6" s="11"/>
      <c r="J6" s="12">
        <f t="shared" si="1"/>
        <v>12</v>
      </c>
    </row>
    <row r="7">
      <c r="A7" s="9" t="str">
        <f>Equipe!A5</f>
        <v>Mateus</v>
      </c>
      <c r="B7" s="10">
        <v>4.0</v>
      </c>
      <c r="C7" s="10">
        <v>4.0</v>
      </c>
      <c r="D7" s="10">
        <v>8.0</v>
      </c>
      <c r="E7" s="11"/>
      <c r="F7" s="11"/>
      <c r="G7" s="11"/>
      <c r="H7" s="11"/>
      <c r="I7" s="11"/>
      <c r="J7" s="12">
        <f t="shared" si="1"/>
        <v>16</v>
      </c>
    </row>
    <row r="8">
      <c r="A8" s="9" t="str">
        <f>Equipe!A6</f>
        <v>Bryan</v>
      </c>
      <c r="B8" s="10">
        <v>2.0</v>
      </c>
      <c r="C8" s="10">
        <v>4.0</v>
      </c>
      <c r="D8" s="10"/>
      <c r="E8" s="11"/>
      <c r="F8" s="11"/>
      <c r="G8" s="11"/>
      <c r="H8" s="11"/>
      <c r="I8" s="11"/>
      <c r="J8" s="12">
        <f t="shared" si="1"/>
        <v>6</v>
      </c>
    </row>
    <row r="9">
      <c r="A9" s="9" t="str">
        <f>Equipe!A7</f>
        <v>Dante</v>
      </c>
      <c r="B9" s="10">
        <v>3.666</v>
      </c>
      <c r="C9" s="10">
        <v>5.7</v>
      </c>
      <c r="D9" s="10">
        <v>5.7</v>
      </c>
      <c r="E9" s="11"/>
      <c r="F9" s="11"/>
      <c r="G9" s="11"/>
      <c r="H9" s="11"/>
      <c r="I9" s="11"/>
      <c r="J9" s="12">
        <f t="shared" si="1"/>
        <v>15.066</v>
      </c>
    </row>
    <row r="10">
      <c r="A10" s="1" t="s">
        <v>24</v>
      </c>
      <c r="B10" s="20">
        <f t="shared" ref="B10:J10" si="2">SUM(B4:B9)</f>
        <v>20.666</v>
      </c>
      <c r="C10" s="20">
        <f t="shared" si="2"/>
        <v>28.7</v>
      </c>
      <c r="D10" s="20">
        <f t="shared" si="2"/>
        <v>28.7</v>
      </c>
      <c r="E10" s="20">
        <f t="shared" si="2"/>
        <v>0</v>
      </c>
      <c r="F10" s="20">
        <f t="shared" si="2"/>
        <v>0</v>
      </c>
      <c r="G10" s="20">
        <f t="shared" si="2"/>
        <v>0</v>
      </c>
      <c r="H10" s="20">
        <f t="shared" si="2"/>
        <v>0</v>
      </c>
      <c r="I10" s="20">
        <f t="shared" si="2"/>
        <v>0</v>
      </c>
      <c r="J10" s="20">
        <f t="shared" si="2"/>
        <v>78.066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0"/>
    <col customWidth="1" min="2" max="2" width="8.0"/>
    <col customWidth="1" min="3" max="6" width="14.0"/>
    <col customWidth="1" min="7" max="9" width="9.0"/>
    <col customWidth="1" min="10" max="26" width="8.71"/>
  </cols>
  <sheetData>
    <row r="1">
      <c r="A1" s="1" t="s">
        <v>12</v>
      </c>
    </row>
    <row r="3" ht="30.0" customHeight="1">
      <c r="A3" s="5" t="s">
        <v>11</v>
      </c>
      <c r="B3" s="5" t="s">
        <v>15</v>
      </c>
      <c r="C3" s="5" t="s">
        <v>20</v>
      </c>
      <c r="D3" s="5" t="s">
        <v>21</v>
      </c>
      <c r="E3" s="5" t="s">
        <v>22</v>
      </c>
      <c r="F3" s="5" t="s">
        <v>23</v>
      </c>
    </row>
    <row r="4">
      <c r="A4" s="9" t="str">
        <f>Equipe!A2</f>
        <v>Davi</v>
      </c>
      <c r="B4" s="9" t="str">
        <f>Equipe!C2</f>
        <v>A</v>
      </c>
      <c r="C4" s="14">
        <f>SUMIFS('Registro de horas'!$G:$G,'Registro de horas'!$B:$B,A4)</f>
        <v>10.66</v>
      </c>
      <c r="D4" s="14">
        <f t="array" ref="D4">INDEX(Planejamento!$J$4:$J$9,MATCH(A4,Planejamento!$A$4:$A$9,0))</f>
        <v>18</v>
      </c>
      <c r="E4" s="17">
        <f t="shared" ref="E4:E10" si="1">IF(D4=0,"",C4/D4)</f>
        <v>0.5922222222</v>
      </c>
      <c r="F4" s="19">
        <f t="shared" ref="F4:F9" si="2">IF($C$10=0,0,C4/$C$10)</f>
        <v>0.263231975</v>
      </c>
    </row>
    <row r="5">
      <c r="A5" s="9" t="str">
        <f>Equipe!A3</f>
        <v>Pedro</v>
      </c>
      <c r="B5" s="9" t="str">
        <f>Equipe!C3</f>
        <v>A</v>
      </c>
      <c r="C5" s="14">
        <f>SUMIFS('Registro de horas'!$G:$G,'Registro de horas'!$B:$B,A5)</f>
        <v>7.11</v>
      </c>
      <c r="D5" s="14">
        <f t="array" ref="D5">INDEX(Planejamento!$J$4:$J$9,MATCH(A5,Planejamento!$A$4:$A$9,0))</f>
        <v>11</v>
      </c>
      <c r="E5" s="17">
        <f t="shared" si="1"/>
        <v>0.6463636364</v>
      </c>
      <c r="F5" s="19">
        <f t="shared" si="2"/>
        <v>0.1755702948</v>
      </c>
    </row>
    <row r="6">
      <c r="A6" s="9" t="str">
        <f>Equipe!A4</f>
        <v>Karolina</v>
      </c>
      <c r="B6" s="9" t="str">
        <f>Equipe!C4</f>
        <v>B</v>
      </c>
      <c r="C6" s="14">
        <f>SUMIFS('Registro de horas'!$G:$G,'Registro de horas'!$B:$B,A6)</f>
        <v>8.07</v>
      </c>
      <c r="D6" s="14">
        <f t="array" ref="D6">INDEX(Planejamento!$J$4:$J$9,MATCH(A6,Planejamento!$A$4:$A$9,0))</f>
        <v>12</v>
      </c>
      <c r="E6" s="17">
        <f t="shared" si="1"/>
        <v>0.6725</v>
      </c>
      <c r="F6" s="19">
        <f t="shared" si="2"/>
        <v>0.1992759886</v>
      </c>
    </row>
    <row r="7">
      <c r="A7" s="9" t="str">
        <f>Equipe!A5</f>
        <v>Mateus</v>
      </c>
      <c r="B7" s="9" t="str">
        <f>Equipe!C5</f>
        <v>B</v>
      </c>
      <c r="C7" s="14">
        <f>SUMIFS('Registro de horas'!$G:$G,'Registro de horas'!$B:$B,A7)</f>
        <v>5</v>
      </c>
      <c r="D7" s="14">
        <f t="array" ref="D7">INDEX(Planejamento!$J$4:$J$9,MATCH(A7,Planejamento!$A$4:$A$9,0))</f>
        <v>16</v>
      </c>
      <c r="E7" s="17">
        <f t="shared" si="1"/>
        <v>0.3125</v>
      </c>
      <c r="F7" s="19">
        <f t="shared" si="2"/>
        <v>0.1234671553</v>
      </c>
    </row>
    <row r="8">
      <c r="A8" s="9" t="str">
        <f>Equipe!A6</f>
        <v>Bryan</v>
      </c>
      <c r="B8" s="9" t="str">
        <f>Equipe!C6</f>
        <v>C</v>
      </c>
      <c r="C8" s="14">
        <f>SUMIFS('Registro de horas'!$G:$G,'Registro de horas'!$B:$B,A8)</f>
        <v>4.33</v>
      </c>
      <c r="D8" s="14">
        <f t="array" ref="D8">INDEX(Planejamento!$J$4:$J$9,MATCH(A8,Planejamento!$A$4:$A$9,0))</f>
        <v>6</v>
      </c>
      <c r="E8" s="17">
        <f t="shared" si="1"/>
        <v>0.7216666667</v>
      </c>
      <c r="F8" s="19">
        <f t="shared" si="2"/>
        <v>0.1069225565</v>
      </c>
    </row>
    <row r="9">
      <c r="A9" s="9" t="str">
        <f>Equipe!A7</f>
        <v>Dante</v>
      </c>
      <c r="B9" s="9" t="str">
        <f>Equipe!C7</f>
        <v>C</v>
      </c>
      <c r="C9" s="14">
        <f>SUMIFS('Registro de horas'!$G:$G,'Registro de horas'!$B:$B,A9)</f>
        <v>5.3266</v>
      </c>
      <c r="D9" s="14">
        <f t="array" ref="D9">INDEX(Planejamento!$J$4:$J$9,MATCH(A9,Planejamento!$A$4:$A$9,0))</f>
        <v>15.066</v>
      </c>
      <c r="E9" s="17">
        <f t="shared" si="1"/>
        <v>0.3535510421</v>
      </c>
      <c r="F9" s="19">
        <f t="shared" si="2"/>
        <v>0.1315320298</v>
      </c>
    </row>
    <row r="10">
      <c r="A10" s="1" t="s">
        <v>24</v>
      </c>
      <c r="C10" s="30">
        <f t="shared" ref="C10:D10" si="3">SUM(C4:C9)</f>
        <v>40.4966</v>
      </c>
      <c r="D10" s="30">
        <f t="shared" si="3"/>
        <v>78.066</v>
      </c>
      <c r="E10" s="31">
        <f t="shared" si="1"/>
        <v>0.5187482387</v>
      </c>
      <c r="F10" s="32">
        <f>SUM(F4:F9)</f>
        <v>1</v>
      </c>
    </row>
    <row r="12">
      <c r="A12" s="1" t="s">
        <v>53</v>
      </c>
    </row>
    <row r="13">
      <c r="A13" s="4" t="s">
        <v>11</v>
      </c>
      <c r="B13" s="6">
        <f>Planejamento!B3</f>
        <v>46300</v>
      </c>
      <c r="C13" s="6">
        <f>Planejamento!C3</f>
        <v>46307</v>
      </c>
      <c r="D13" s="6">
        <f>Planejamento!D3</f>
        <v>46314</v>
      </c>
      <c r="E13" s="6">
        <f>Planejamento!E3</f>
        <v>46321</v>
      </c>
      <c r="F13" s="6">
        <f>Planejamento!F3</f>
        <v>46328</v>
      </c>
      <c r="G13" s="6">
        <f>Planejamento!G3</f>
        <v>46335</v>
      </c>
      <c r="H13" s="6">
        <f>Planejamento!H3</f>
        <v>46342</v>
      </c>
      <c r="I13" s="6">
        <f>Planejamento!I3</f>
        <v>46349</v>
      </c>
    </row>
    <row r="14">
      <c r="A14" s="9" t="str">
        <f>Equipe!A2</f>
        <v>Davi</v>
      </c>
      <c r="B14" s="14">
        <f>SUMIFS('Registro de horas'!$G:$G,'Registro de horas'!$B:$B,$A14,'Registro de horas'!$A:$A,"&gt;="&amp;B$13,'Registro de horas'!$A:$A,"&lt;"&amp;B$13+7)</f>
        <v>3.33</v>
      </c>
      <c r="C14" s="14">
        <f>SUMIFS('Registro de horas'!$G:$G,'Registro de horas'!$B:$B,$A14,'Registro de horas'!$A:$A,"&gt;="&amp;C$13,'Registro de horas'!$A:$A,"&lt;"&amp;C$13+7)</f>
        <v>6.33</v>
      </c>
      <c r="D14" s="14">
        <f>SUMIFS('Registro de horas'!$G:$G,'Registro de horas'!$B:$B,$A14,'Registro de horas'!$A:$A,"&gt;="&amp;D$13,'Registro de horas'!$A:$A,"&lt;"&amp;D$13+7)</f>
        <v>1</v>
      </c>
      <c r="E14" s="14">
        <f>SUMIFS('Registro de horas'!$G:$G,'Registro de horas'!$B:$B,$A14,'Registro de horas'!$A:$A,"&gt;="&amp;E$13,'Registro de horas'!$A:$A,"&lt;"&amp;E$13+7)</f>
        <v>0</v>
      </c>
      <c r="F14" s="14">
        <f>SUMIFS('Registro de horas'!$G:$G,'Registro de horas'!$B:$B,$A14,'Registro de horas'!$A:$A,"&gt;="&amp;F$13,'Registro de horas'!$A:$A,"&lt;"&amp;F$13+7)</f>
        <v>0</v>
      </c>
      <c r="G14" s="14">
        <f>SUMIFS('Registro de horas'!$G:$G,'Registro de horas'!$B:$B,$A14,'Registro de horas'!$A:$A,"&gt;="&amp;G$13,'Registro de horas'!$A:$A,"&lt;"&amp;G$13+7)</f>
        <v>0</v>
      </c>
      <c r="H14" s="14">
        <f>SUMIFS('Registro de horas'!$G:$G,'Registro de horas'!$B:$B,$A14,'Registro de horas'!$A:$A,"&gt;="&amp;H$13,'Registro de horas'!$A:$A,"&lt;"&amp;H$13+7)</f>
        <v>0</v>
      </c>
      <c r="I14" s="14">
        <f>SUMIFS('Registro de horas'!$G:$G,'Registro de horas'!$B:$B,$A14,'Registro de horas'!$A:$A,"&gt;="&amp;I$13,'Registro de horas'!$A:$A,"&lt;"&amp;I$13+7)</f>
        <v>0</v>
      </c>
    </row>
    <row r="15">
      <c r="A15" s="9" t="str">
        <f>Equipe!A3</f>
        <v>Pedro</v>
      </c>
      <c r="B15" s="14">
        <f>SUMIFS('Registro de horas'!$G:$G,'Registro de horas'!$B:$B,$A15,'Registro de horas'!$A:$A,"&gt;="&amp;B$13,'Registro de horas'!$A:$A,"&lt;"&amp;B$13+7)</f>
        <v>0.33</v>
      </c>
      <c r="C15" s="14">
        <f>SUMIFS('Registro de horas'!$G:$G,'Registro de horas'!$B:$B,$A15,'Registro de horas'!$A:$A,"&gt;="&amp;C$13,'Registro de horas'!$A:$A,"&lt;"&amp;C$13+7)</f>
        <v>6.78</v>
      </c>
      <c r="D15" s="14">
        <f>SUMIFS('Registro de horas'!$G:$G,'Registro de horas'!$B:$B,$A15,'Registro de horas'!$A:$A,"&gt;="&amp;D$13,'Registro de horas'!$A:$A,"&lt;"&amp;D$13+7)</f>
        <v>0</v>
      </c>
      <c r="E15" s="14">
        <f>SUMIFS('Registro de horas'!$G:$G,'Registro de horas'!$B:$B,$A15,'Registro de horas'!$A:$A,"&gt;="&amp;E$13,'Registro de horas'!$A:$A,"&lt;"&amp;E$13+7)</f>
        <v>0</v>
      </c>
      <c r="F15" s="14">
        <f>SUMIFS('Registro de horas'!$G:$G,'Registro de horas'!$B:$B,$A15,'Registro de horas'!$A:$A,"&gt;="&amp;F$13,'Registro de horas'!$A:$A,"&lt;"&amp;F$13+7)</f>
        <v>0</v>
      </c>
      <c r="G15" s="14">
        <f>SUMIFS('Registro de horas'!$G:$G,'Registro de horas'!$B:$B,$A15,'Registro de horas'!$A:$A,"&gt;="&amp;G$13,'Registro de horas'!$A:$A,"&lt;"&amp;G$13+7)</f>
        <v>0</v>
      </c>
      <c r="H15" s="14">
        <f>SUMIFS('Registro de horas'!$G:$G,'Registro de horas'!$B:$B,$A15,'Registro de horas'!$A:$A,"&gt;="&amp;H$13,'Registro de horas'!$A:$A,"&lt;"&amp;H$13+7)</f>
        <v>0</v>
      </c>
      <c r="I15" s="14">
        <f>SUMIFS('Registro de horas'!$G:$G,'Registro de horas'!$B:$B,$A15,'Registro de horas'!$A:$A,"&gt;="&amp;I$13,'Registro de horas'!$A:$A,"&lt;"&amp;I$13+7)</f>
        <v>0</v>
      </c>
    </row>
    <row r="16">
      <c r="A16" s="9" t="str">
        <f>Equipe!A4</f>
        <v>Karolina</v>
      </c>
      <c r="B16" s="14">
        <f>SUMIFS('Registro de horas'!$G:$G,'Registro de horas'!$B:$B,$A16,'Registro de horas'!$A:$A,"&gt;="&amp;B$13,'Registro de horas'!$A:$A,"&lt;"&amp;B$13+7)</f>
        <v>3.66</v>
      </c>
      <c r="C16" s="14">
        <f>SUMIFS('Registro de horas'!$G:$G,'Registro de horas'!$B:$B,$A16,'Registro de horas'!$A:$A,"&gt;="&amp;C$13,'Registro de horas'!$A:$A,"&lt;"&amp;C$13+7)</f>
        <v>4.41</v>
      </c>
      <c r="D16" s="14">
        <f>SUMIFS('Registro de horas'!$G:$G,'Registro de horas'!$B:$B,$A16,'Registro de horas'!$A:$A,"&gt;="&amp;D$13,'Registro de horas'!$A:$A,"&lt;"&amp;D$13+7)</f>
        <v>0</v>
      </c>
      <c r="E16" s="14">
        <f>SUMIFS('Registro de horas'!$G:$G,'Registro de horas'!$B:$B,$A16,'Registro de horas'!$A:$A,"&gt;="&amp;E$13,'Registro de horas'!$A:$A,"&lt;"&amp;E$13+7)</f>
        <v>0</v>
      </c>
      <c r="F16" s="14">
        <f>SUMIFS('Registro de horas'!$G:$G,'Registro de horas'!$B:$B,$A16,'Registro de horas'!$A:$A,"&gt;="&amp;F$13,'Registro de horas'!$A:$A,"&lt;"&amp;F$13+7)</f>
        <v>0</v>
      </c>
      <c r="G16" s="14">
        <f>SUMIFS('Registro de horas'!$G:$G,'Registro de horas'!$B:$B,$A16,'Registro de horas'!$A:$A,"&gt;="&amp;G$13,'Registro de horas'!$A:$A,"&lt;"&amp;G$13+7)</f>
        <v>0</v>
      </c>
      <c r="H16" s="14">
        <f>SUMIFS('Registro de horas'!$G:$G,'Registro de horas'!$B:$B,$A16,'Registro de horas'!$A:$A,"&gt;="&amp;H$13,'Registro de horas'!$A:$A,"&lt;"&amp;H$13+7)</f>
        <v>0</v>
      </c>
      <c r="I16" s="14">
        <f>SUMIFS('Registro de horas'!$G:$G,'Registro de horas'!$B:$B,$A16,'Registro de horas'!$A:$A,"&gt;="&amp;I$13,'Registro de horas'!$A:$A,"&lt;"&amp;I$13+7)</f>
        <v>0</v>
      </c>
    </row>
    <row r="17">
      <c r="A17" s="9" t="str">
        <f>Equipe!A5</f>
        <v>Mateus</v>
      </c>
      <c r="B17" s="14">
        <f>SUMIFS('Registro de horas'!$G:$G,'Registro de horas'!$B:$B,$A17,'Registro de horas'!$A:$A,"&gt;="&amp;B$13,'Registro de horas'!$A:$A,"&lt;"&amp;B$13+7)</f>
        <v>4</v>
      </c>
      <c r="C17" s="14">
        <f>SUMIFS('Registro de horas'!$G:$G,'Registro de horas'!$B:$B,$A17,'Registro de horas'!$A:$A,"&gt;="&amp;C$13,'Registro de horas'!$A:$A,"&lt;"&amp;C$13+7)</f>
        <v>1</v>
      </c>
      <c r="D17" s="14">
        <f>SUMIFS('Registro de horas'!$G:$G,'Registro de horas'!$B:$B,$A17,'Registro de horas'!$A:$A,"&gt;="&amp;D$13,'Registro de horas'!$A:$A,"&lt;"&amp;D$13+7)</f>
        <v>0</v>
      </c>
      <c r="E17" s="14">
        <f>SUMIFS('Registro de horas'!$G:$G,'Registro de horas'!$B:$B,$A17,'Registro de horas'!$A:$A,"&gt;="&amp;E$13,'Registro de horas'!$A:$A,"&lt;"&amp;E$13+7)</f>
        <v>0</v>
      </c>
      <c r="F17" s="14">
        <f>SUMIFS('Registro de horas'!$G:$G,'Registro de horas'!$B:$B,$A17,'Registro de horas'!$A:$A,"&gt;="&amp;F$13,'Registro de horas'!$A:$A,"&lt;"&amp;F$13+7)</f>
        <v>0</v>
      </c>
      <c r="G17" s="14">
        <f>SUMIFS('Registro de horas'!$G:$G,'Registro de horas'!$B:$B,$A17,'Registro de horas'!$A:$A,"&gt;="&amp;G$13,'Registro de horas'!$A:$A,"&lt;"&amp;G$13+7)</f>
        <v>0</v>
      </c>
      <c r="H17" s="14">
        <f>SUMIFS('Registro de horas'!$G:$G,'Registro de horas'!$B:$B,$A17,'Registro de horas'!$A:$A,"&gt;="&amp;H$13,'Registro de horas'!$A:$A,"&lt;"&amp;H$13+7)</f>
        <v>0</v>
      </c>
      <c r="I17" s="14">
        <f>SUMIFS('Registro de horas'!$G:$G,'Registro de horas'!$B:$B,$A17,'Registro de horas'!$A:$A,"&gt;="&amp;I$13,'Registro de horas'!$A:$A,"&lt;"&amp;I$13+7)</f>
        <v>0</v>
      </c>
    </row>
    <row r="18">
      <c r="A18" s="9" t="str">
        <f>Equipe!A6</f>
        <v>Bryan</v>
      </c>
      <c r="B18" s="14">
        <f>SUMIFS('Registro de horas'!$G:$G,'Registro de horas'!$B:$B,$A18,'Registro de horas'!$A:$A,"&gt;="&amp;B$13,'Registro de horas'!$A:$A,"&lt;"&amp;B$13+7)</f>
        <v>0.33</v>
      </c>
      <c r="C18" s="14">
        <f>SUMIFS('Registro de horas'!$G:$G,'Registro de horas'!$B:$B,$A18,'Registro de horas'!$A:$A,"&gt;="&amp;C$13,'Registro de horas'!$A:$A,"&lt;"&amp;C$13+7)</f>
        <v>4</v>
      </c>
      <c r="D18" s="14">
        <f>SUMIFS('Registro de horas'!$G:$G,'Registro de horas'!$B:$B,$A18,'Registro de horas'!$A:$A,"&gt;="&amp;D$13,'Registro de horas'!$A:$A,"&lt;"&amp;D$13+7)</f>
        <v>0</v>
      </c>
      <c r="E18" s="14">
        <f>SUMIFS('Registro de horas'!$G:$G,'Registro de horas'!$B:$B,$A18,'Registro de horas'!$A:$A,"&gt;="&amp;E$13,'Registro de horas'!$A:$A,"&lt;"&amp;E$13+7)</f>
        <v>0</v>
      </c>
      <c r="F18" s="14">
        <f>SUMIFS('Registro de horas'!$G:$G,'Registro de horas'!$B:$B,$A18,'Registro de horas'!$A:$A,"&gt;="&amp;F$13,'Registro de horas'!$A:$A,"&lt;"&amp;F$13+7)</f>
        <v>0</v>
      </c>
      <c r="G18" s="14">
        <f>SUMIFS('Registro de horas'!$G:$G,'Registro de horas'!$B:$B,$A18,'Registro de horas'!$A:$A,"&gt;="&amp;G$13,'Registro de horas'!$A:$A,"&lt;"&amp;G$13+7)</f>
        <v>0</v>
      </c>
      <c r="H18" s="14">
        <f>SUMIFS('Registro de horas'!$G:$G,'Registro de horas'!$B:$B,$A18,'Registro de horas'!$A:$A,"&gt;="&amp;H$13,'Registro de horas'!$A:$A,"&lt;"&amp;H$13+7)</f>
        <v>0</v>
      </c>
      <c r="I18" s="14">
        <f>SUMIFS('Registro de horas'!$G:$G,'Registro de horas'!$B:$B,$A18,'Registro de horas'!$A:$A,"&gt;="&amp;I$13,'Registro de horas'!$A:$A,"&lt;"&amp;I$13+7)</f>
        <v>0</v>
      </c>
    </row>
    <row r="19">
      <c r="A19" s="9" t="str">
        <f>Equipe!A7</f>
        <v>Dante</v>
      </c>
      <c r="B19" s="14">
        <f>SUMIFS('Registro de horas'!$G:$G,'Registro de horas'!$B:$B,$A19,'Registro de horas'!$A:$A,"&gt;="&amp;B$13,'Registro de horas'!$A:$A,"&lt;"&amp;B$13+7)</f>
        <v>0.33</v>
      </c>
      <c r="C19" s="14">
        <f>SUMIFS('Registro de horas'!$G:$G,'Registro de horas'!$B:$B,$A19,'Registro de horas'!$A:$A,"&gt;="&amp;C$13,'Registro de horas'!$A:$A,"&lt;"&amp;C$13+7)</f>
        <v>4.9966</v>
      </c>
      <c r="D19" s="14">
        <f>SUMIFS('Registro de horas'!$G:$G,'Registro de horas'!$B:$B,$A19,'Registro de horas'!$A:$A,"&gt;="&amp;D$13,'Registro de horas'!$A:$A,"&lt;"&amp;D$13+7)</f>
        <v>0</v>
      </c>
      <c r="E19" s="14">
        <f>SUMIFS('Registro de horas'!$G:$G,'Registro de horas'!$B:$B,$A19,'Registro de horas'!$A:$A,"&gt;="&amp;E$13,'Registro de horas'!$A:$A,"&lt;"&amp;E$13+7)</f>
        <v>0</v>
      </c>
      <c r="F19" s="14">
        <f>SUMIFS('Registro de horas'!$G:$G,'Registro de horas'!$B:$B,$A19,'Registro de horas'!$A:$A,"&gt;="&amp;F$13,'Registro de horas'!$A:$A,"&lt;"&amp;F$13+7)</f>
        <v>0</v>
      </c>
      <c r="G19" s="14">
        <f>SUMIFS('Registro de horas'!$G:$G,'Registro de horas'!$B:$B,$A19,'Registro de horas'!$A:$A,"&gt;="&amp;G$13,'Registro de horas'!$A:$A,"&lt;"&amp;G$13+7)</f>
        <v>0</v>
      </c>
      <c r="H19" s="14">
        <f>SUMIFS('Registro de horas'!$G:$G,'Registro de horas'!$B:$B,$A19,'Registro de horas'!$A:$A,"&gt;="&amp;H$13,'Registro de horas'!$A:$A,"&lt;"&amp;H$13+7)</f>
        <v>0</v>
      </c>
      <c r="I19" s="14">
        <f>SUMIFS('Registro de horas'!$G:$G,'Registro de horas'!$B:$B,$A19,'Registro de horas'!$A:$A,"&gt;="&amp;I$13,'Registro de horas'!$A:$A,"&lt;"&amp;I$13+7)</f>
        <v>0</v>
      </c>
    </row>
    <row r="20">
      <c r="A20" s="1" t="s">
        <v>24</v>
      </c>
      <c r="B20" s="30">
        <f t="shared" ref="B20:I20" si="4">SUM(B14:B19)</f>
        <v>11.98</v>
      </c>
      <c r="C20" s="30">
        <f t="shared" si="4"/>
        <v>27.5166</v>
      </c>
      <c r="D20" s="30">
        <f t="shared" si="4"/>
        <v>1</v>
      </c>
      <c r="E20" s="30">
        <f t="shared" si="4"/>
        <v>0</v>
      </c>
      <c r="F20" s="30">
        <f t="shared" si="4"/>
        <v>0</v>
      </c>
      <c r="G20" s="30">
        <f t="shared" si="4"/>
        <v>0</v>
      </c>
      <c r="H20" s="30">
        <f t="shared" si="4"/>
        <v>0</v>
      </c>
      <c r="I20" s="30">
        <f t="shared" si="4"/>
        <v>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4.0"/>
    <col customWidth="1" min="2" max="2" width="36.0"/>
    <col customWidth="1" min="3" max="3" width="8.0"/>
    <col customWidth="1" min="4" max="4" width="26.0"/>
    <col customWidth="1" min="5" max="26" width="8.71"/>
  </cols>
  <sheetData>
    <row r="1">
      <c r="A1" s="16" t="s">
        <v>11</v>
      </c>
      <c r="B1" s="16" t="s">
        <v>29</v>
      </c>
      <c r="C1" s="16" t="s">
        <v>15</v>
      </c>
      <c r="D1" s="16" t="s">
        <v>30</v>
      </c>
    </row>
    <row r="2">
      <c r="A2" s="9" t="s">
        <v>25</v>
      </c>
      <c r="B2" s="9" t="s">
        <v>31</v>
      </c>
      <c r="C2" s="9" t="s">
        <v>32</v>
      </c>
      <c r="D2" s="9" t="s">
        <v>33</v>
      </c>
    </row>
    <row r="3">
      <c r="A3" s="9" t="s">
        <v>28</v>
      </c>
      <c r="B3" s="9" t="s">
        <v>34</v>
      </c>
      <c r="C3" s="9" t="s">
        <v>32</v>
      </c>
      <c r="D3" s="9" t="s">
        <v>33</v>
      </c>
    </row>
    <row r="4">
      <c r="A4" s="9" t="s">
        <v>35</v>
      </c>
      <c r="B4" s="9" t="s">
        <v>36</v>
      </c>
      <c r="C4" s="9" t="s">
        <v>37</v>
      </c>
      <c r="D4" s="9" t="s">
        <v>38</v>
      </c>
    </row>
    <row r="5">
      <c r="A5" s="9" t="s">
        <v>39</v>
      </c>
      <c r="B5" s="9" t="s">
        <v>40</v>
      </c>
      <c r="C5" s="9" t="s">
        <v>37</v>
      </c>
      <c r="D5" s="9" t="s">
        <v>38</v>
      </c>
    </row>
    <row r="6">
      <c r="A6" s="9" t="s">
        <v>41</v>
      </c>
      <c r="B6" s="9" t="s">
        <v>42</v>
      </c>
      <c r="C6" s="9" t="s">
        <v>43</v>
      </c>
      <c r="D6" s="9" t="s">
        <v>44</v>
      </c>
    </row>
    <row r="7">
      <c r="A7" s="9" t="s">
        <v>45</v>
      </c>
      <c r="B7" s="9" t="s">
        <v>46</v>
      </c>
      <c r="C7" s="9" t="s">
        <v>43</v>
      </c>
      <c r="D7" s="9" t="s">
        <v>44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